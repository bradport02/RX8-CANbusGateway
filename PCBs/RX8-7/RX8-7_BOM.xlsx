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dp\Documents\RX8_Controller\AC Controller\PCB\RX8-7 (MAINBOARD)\RX8-7\RX8-7\"/>
    </mc:Choice>
  </mc:AlternateContent>
  <xr:revisionPtr revIDLastSave="0" documentId="13_ncr:1_{9B18842A-334C-4537-B75D-5FA2A82D2C03}" xr6:coauthVersionLast="47" xr6:coauthVersionMax="47" xr10:uidLastSave="{00000000-0000-0000-0000-000000000000}"/>
  <bookViews>
    <workbookView xWindow="14317" yWindow="0" windowWidth="14565" windowHeight="17363" tabRatio="500" xr2:uid="{00000000-000D-0000-FFFF-FFFF00000000}"/>
  </bookViews>
  <sheets>
    <sheet name="RX8-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3" i="1"/>
  <c r="C109" i="1"/>
  <c r="J109" i="1" l="1"/>
</calcChain>
</file>

<file path=xl/sharedStrings.xml><?xml version="1.0" encoding="utf-8"?>
<sst xmlns="http://schemas.openxmlformats.org/spreadsheetml/2006/main" count="642" uniqueCount="299">
  <si>
    <t>Reference</t>
  </si>
  <si>
    <t>Qnty</t>
  </si>
  <si>
    <t>Value</t>
  </si>
  <si>
    <t>Component name</t>
  </si>
  <si>
    <t>Vendor</t>
  </si>
  <si>
    <t>Link</t>
  </si>
  <si>
    <t>Cost per item</t>
  </si>
  <si>
    <t>Total</t>
  </si>
  <si>
    <t>C100</t>
  </si>
  <si>
    <t>10u</t>
  </si>
  <si>
    <t>100n</t>
  </si>
  <si>
    <t>C104,C117,C121,C124,C405,C408</t>
  </si>
  <si>
    <t>C105</t>
  </si>
  <si>
    <t>220u</t>
  </si>
  <si>
    <t>1u</t>
  </si>
  <si>
    <t>C113</t>
  </si>
  <si>
    <t>22n</t>
  </si>
  <si>
    <t>C114</t>
  </si>
  <si>
    <t>100u</t>
  </si>
  <si>
    <t>C116,C223</t>
  </si>
  <si>
    <t>47u</t>
  </si>
  <si>
    <t>C119</t>
  </si>
  <si>
    <t>4u7</t>
  </si>
  <si>
    <t>C122,C123</t>
  </si>
  <si>
    <t>22u</t>
  </si>
  <si>
    <t>C128</t>
  </si>
  <si>
    <t>470u</t>
  </si>
  <si>
    <t>C200,C201,C202,C203,C204,C205,C206,C207,C214,C220,C221,C601,C603</t>
  </si>
  <si>
    <t>470n</t>
  </si>
  <si>
    <t>C215,C216,C217,C218,C409,C410,C412,C413,C507,C508</t>
  </si>
  <si>
    <t>2u2</t>
  </si>
  <si>
    <t>C219,C607</t>
  </si>
  <si>
    <t>C222</t>
  </si>
  <si>
    <t>4700u</t>
  </si>
  <si>
    <t>C303,C304,C305,C306,C307,C308,C315,C316</t>
  </si>
  <si>
    <t>C400,C401,C701,C702</t>
  </si>
  <si>
    <t>22p</t>
  </si>
  <si>
    <t>C402,C403,L400</t>
  </si>
  <si>
    <t>NA</t>
  </si>
  <si>
    <t>C404</t>
  </si>
  <si>
    <t>470p</t>
  </si>
  <si>
    <t>C504,C505</t>
  </si>
  <si>
    <t>12p</t>
  </si>
  <si>
    <t>C513,C514</t>
  </si>
  <si>
    <t>15p</t>
  </si>
  <si>
    <t>RF05VYM1SFHTR</t>
  </si>
  <si>
    <t>D101,D500</t>
  </si>
  <si>
    <t>SMAJ24A</t>
  </si>
  <si>
    <t>D103,D104,D105</t>
  </si>
  <si>
    <t>Zener_15V</t>
  </si>
  <si>
    <t>D107,D108,D110,D111,D112,D114,D115,D200,D400,D504,D604</t>
  </si>
  <si>
    <t>LED</t>
  </si>
  <si>
    <t>D109</t>
  </si>
  <si>
    <t>1.5KExxA</t>
  </si>
  <si>
    <t>D401</t>
  </si>
  <si>
    <t>NUP2105L</t>
  </si>
  <si>
    <t>D501</t>
  </si>
  <si>
    <t>BAT54W</t>
  </si>
  <si>
    <t>D502,D503,D600,D601,D602</t>
  </si>
  <si>
    <t>ESD9B5.0ST5G</t>
  </si>
  <si>
    <t>D505</t>
  </si>
  <si>
    <t>D603</t>
  </si>
  <si>
    <t>WS2812B</t>
  </si>
  <si>
    <t>FerriteBead</t>
  </si>
  <si>
    <t>FB500</t>
  </si>
  <si>
    <t>J100,J502,J601</t>
  </si>
  <si>
    <t>USB_C_Receptacle_USB2.0_16P</t>
  </si>
  <si>
    <t>J401</t>
  </si>
  <si>
    <t>35RASMT6CHNTRX</t>
  </si>
  <si>
    <t>J600</t>
  </si>
  <si>
    <t>J800</t>
  </si>
  <si>
    <t>34958-0383</t>
  </si>
  <si>
    <t>J802</t>
  </si>
  <si>
    <t>L100</t>
  </si>
  <si>
    <t>4.7uH</t>
  </si>
  <si>
    <t>L200,L201,L202,L203</t>
  </si>
  <si>
    <t>L401</t>
  </si>
  <si>
    <t>Q100,Q300,Q301,Q400,Q401,Q402,Q403,Q404,Q500,Q501,Q502,Q503,Q600,Q601,Q602</t>
  </si>
  <si>
    <t>NPN</t>
  </si>
  <si>
    <t>Q101,Q102,Q103</t>
  </si>
  <si>
    <t>SQJ407EP-T1_GE3</t>
  </si>
  <si>
    <t>22k</t>
  </si>
  <si>
    <t>10k</t>
  </si>
  <si>
    <t>R103,R104</t>
  </si>
  <si>
    <t>2k5</t>
  </si>
  <si>
    <t>R105,R106</t>
  </si>
  <si>
    <t>R107,R108,R505,R508,R604,R605</t>
  </si>
  <si>
    <t>5k1</t>
  </si>
  <si>
    <t>R111</t>
  </si>
  <si>
    <t>62k</t>
  </si>
  <si>
    <t>R112</t>
  </si>
  <si>
    <t>51k</t>
  </si>
  <si>
    <t>R115,R204</t>
  </si>
  <si>
    <t>100k</t>
  </si>
  <si>
    <t>R116</t>
  </si>
  <si>
    <t>240R</t>
  </si>
  <si>
    <t>R117</t>
  </si>
  <si>
    <t>1k5</t>
  </si>
  <si>
    <t>R118,R122</t>
  </si>
  <si>
    <t>2K2</t>
  </si>
  <si>
    <t>R119</t>
  </si>
  <si>
    <t>2k</t>
  </si>
  <si>
    <t>R120</t>
  </si>
  <si>
    <t>12k</t>
  </si>
  <si>
    <t>R121</t>
  </si>
  <si>
    <t>1k8</t>
  </si>
  <si>
    <t>R200,R201,R202,R203</t>
  </si>
  <si>
    <t>10R</t>
  </si>
  <si>
    <t>R212,R603</t>
  </si>
  <si>
    <t>47k</t>
  </si>
  <si>
    <t>R300,R301,R302,R348</t>
  </si>
  <si>
    <t>4k3</t>
  </si>
  <si>
    <t>0R</t>
  </si>
  <si>
    <t>R306,R307,R310,R350</t>
  </si>
  <si>
    <t>27k</t>
  </si>
  <si>
    <t>R308,R309,R311,R312,R314,R316,R331,R332,R333,R351,R352,R359</t>
  </si>
  <si>
    <t>4k7</t>
  </si>
  <si>
    <t>R322,R323,R324,R328,R329,R330,R357,R358</t>
  </si>
  <si>
    <t>4R7</t>
  </si>
  <si>
    <t>1k</t>
  </si>
  <si>
    <t>R346,R347</t>
  </si>
  <si>
    <t>3k3</t>
  </si>
  <si>
    <t>R421,R422</t>
  </si>
  <si>
    <t>470R</t>
  </si>
  <si>
    <t>R512,R513</t>
  </si>
  <si>
    <t>22R</t>
  </si>
  <si>
    <t>R515</t>
  </si>
  <si>
    <t>82k</t>
  </si>
  <si>
    <t>R519</t>
  </si>
  <si>
    <t>33k</t>
  </si>
  <si>
    <t>R602</t>
  </si>
  <si>
    <t>22k1</t>
  </si>
  <si>
    <t>R701,R705,R706</t>
  </si>
  <si>
    <t>120R</t>
  </si>
  <si>
    <t>REG100</t>
  </si>
  <si>
    <t>TPS7B8233QDGNRQ1</t>
  </si>
  <si>
    <t>REG101</t>
  </si>
  <si>
    <t>LF80_TO252</t>
  </si>
  <si>
    <t>REG102</t>
  </si>
  <si>
    <t>LD1117S33TR_SOT223</t>
  </si>
  <si>
    <t>REG103</t>
  </si>
  <si>
    <t>MPQ4317GRE-5-AEC1-P</t>
  </si>
  <si>
    <t>REG104</t>
  </si>
  <si>
    <t>NCV1117DT33T5G</t>
  </si>
  <si>
    <t>REG105</t>
  </si>
  <si>
    <t>NCV317MBDTRKG</t>
  </si>
  <si>
    <t>REG106</t>
  </si>
  <si>
    <t>LDO40LPURY</t>
  </si>
  <si>
    <t>RN600</t>
  </si>
  <si>
    <t>R_Network04</t>
  </si>
  <si>
    <t>SW500,SW600,SW601</t>
  </si>
  <si>
    <t>PTS636SKG25JSMTR_LFS</t>
  </si>
  <si>
    <t>U200</t>
  </si>
  <si>
    <t>TDA7719</t>
  </si>
  <si>
    <t>U201</t>
  </si>
  <si>
    <t>TDA7388</t>
  </si>
  <si>
    <t>U300,U301,U302,U303</t>
  </si>
  <si>
    <t>NJM4556A</t>
  </si>
  <si>
    <t>U400</t>
  </si>
  <si>
    <t>SI4703-C19-GM</t>
  </si>
  <si>
    <t>U401</t>
  </si>
  <si>
    <t>PCM5102A</t>
  </si>
  <si>
    <t>U500</t>
  </si>
  <si>
    <t>MCP1402T-E_OT</t>
  </si>
  <si>
    <t>U501</t>
  </si>
  <si>
    <t>STM32H750VBTx</t>
  </si>
  <si>
    <t>U502</t>
  </si>
  <si>
    <t>W25Q32JVSS</t>
  </si>
  <si>
    <t>U503</t>
  </si>
  <si>
    <t>74HC245</t>
  </si>
  <si>
    <t>U600</t>
  </si>
  <si>
    <t>CP2102N-Axx-xQFN28</t>
  </si>
  <si>
    <t>U601</t>
  </si>
  <si>
    <t>ESP32-S3-WROOM-1</t>
  </si>
  <si>
    <t>U602</t>
  </si>
  <si>
    <t>Raspberry_Pi_5</t>
  </si>
  <si>
    <t>U700,U702,U703</t>
  </si>
  <si>
    <t>U701</t>
  </si>
  <si>
    <t>MCP2515-xSO</t>
  </si>
  <si>
    <t>U704,U705</t>
  </si>
  <si>
    <t>LM75B</t>
  </si>
  <si>
    <t>X400,X501</t>
  </si>
  <si>
    <t>32.768K</t>
  </si>
  <si>
    <t>X500</t>
  </si>
  <si>
    <t>25MHz</t>
  </si>
  <si>
    <t>X700</t>
  </si>
  <si>
    <t>8MHz</t>
  </si>
  <si>
    <t>Component Count:</t>
  </si>
  <si>
    <t>Total:</t>
  </si>
  <si>
    <t>Mouser</t>
  </si>
  <si>
    <t>06035C104K4T2A</t>
  </si>
  <si>
    <t>AEH0608100M050R</t>
  </si>
  <si>
    <t>EEE-HC1C100R</t>
  </si>
  <si>
    <t>EDT227M035A9PAA</t>
  </si>
  <si>
    <t>RSVVS010M1UBC3001U</t>
  </si>
  <si>
    <t>0603DD106MAT2A</t>
  </si>
  <si>
    <t>C0603C223J1RECAUTO</t>
  </si>
  <si>
    <t>EDT107M050A9PAA</t>
  </si>
  <si>
    <t>EEE-TG1V470UP</t>
  </si>
  <si>
    <t>GRM188R60J476ME01J</t>
  </si>
  <si>
    <t>MBASE168BB5475KTNA18</t>
  </si>
  <si>
    <t>GRM188D70J226ME01D</t>
  </si>
  <si>
    <t>C125, C126</t>
  </si>
  <si>
    <t>C106, C127</t>
  </si>
  <si>
    <t>EEE-FN1C471L</t>
  </si>
  <si>
    <t>EDH475M035A9BAA</t>
  </si>
  <si>
    <t>C0805C105M4RACAUTO</t>
  </si>
  <si>
    <t>C0603C474K4PACTM</t>
  </si>
  <si>
    <t>MCASL21GSB7225KTNA1J</t>
  </si>
  <si>
    <t>KGM21AR51C106MU</t>
  </si>
  <si>
    <t>EEE-FK1E472SM</t>
  </si>
  <si>
    <t>C210,C226</t>
  </si>
  <si>
    <t>C129,C300,C301,C302,C314</t>
  </si>
  <si>
    <t>EEE-FT1C221AL</t>
  </si>
  <si>
    <t>C101,C102,C103,C110,C111,C112,C118,C120,C130,C208,C209,C211,C212,C213,C225,C227,C309,C310,C311,C312,C313,C407,C411,C500,C501,C502,C506,C509,C510,C511,C512,C515,C516,C517,C519,C600,C602,C604,C605,C606,C703,C704,C705,C706,C707,C708</t>
  </si>
  <si>
    <t>06033A220DAT2A</t>
  </si>
  <si>
    <t>C108,C109,C503,C518,C107,C115, C406</t>
  </si>
  <si>
    <t>VJ0603D120JXPAJ</t>
  </si>
  <si>
    <t>06035U150FAT2A</t>
  </si>
  <si>
    <t>D100, D102</t>
  </si>
  <si>
    <t>1PGSMA4744H</t>
  </si>
  <si>
    <t>599-1010-147F</t>
  </si>
  <si>
    <t>SA36CA-E3/54</t>
  </si>
  <si>
    <t>ESD2CAN24DBZRQ1</t>
  </si>
  <si>
    <t>D700,D701</t>
  </si>
  <si>
    <t>SS14</t>
  </si>
  <si>
    <t>FB100</t>
  </si>
  <si>
    <t>FB400</t>
  </si>
  <si>
    <t>BLM18RK102SN1D</t>
  </si>
  <si>
    <t>ABPY00160808121Y00</t>
  </si>
  <si>
    <t>UJ20-C-H-G-SMT-2A-P16-TR</t>
  </si>
  <si>
    <t>Audio Jack</t>
  </si>
  <si>
    <t>Conn_01x28_Pin</t>
  </si>
  <si>
    <t>PHDR-28VS</t>
  </si>
  <si>
    <t>J800 [MALE]</t>
  </si>
  <si>
    <t>34959-0390</t>
  </si>
  <si>
    <t>2FA1-NCSP-PCBB6</t>
  </si>
  <si>
    <t>Fakra</t>
  </si>
  <si>
    <t>XAL7030-472MEC</t>
  </si>
  <si>
    <t>SRP5030HMT-100M</t>
  </si>
  <si>
    <t>NLCV32T-100J-EFRD</t>
  </si>
  <si>
    <t>BC817</t>
  </si>
  <si>
    <t>P-Channel Mosfet</t>
  </si>
  <si>
    <t>CRG0603F22K/10</t>
  </si>
  <si>
    <t>RNCF0603BTE2K50</t>
  </si>
  <si>
    <t>RMCF1210JT180R</t>
  </si>
  <si>
    <t>AC0603FR-7W5K1L</t>
  </si>
  <si>
    <t>R100,R110,R113,R205,R416,R518,R615,R109,R114,R123</t>
  </si>
  <si>
    <t>CR0603-JW-623ELF</t>
  </si>
  <si>
    <t>CR0603-JW-513ELF</t>
  </si>
  <si>
    <t>CR0603-JW-104ELF</t>
  </si>
  <si>
    <t>CR0603-FX-2400ELF</t>
  </si>
  <si>
    <t>CR0603-JW-152ELF</t>
  </si>
  <si>
    <t>CR0603-FX-2201ELF</t>
  </si>
  <si>
    <t>CR0603-JW-202ELF</t>
  </si>
  <si>
    <t>CR0603-FX-1202ELF</t>
  </si>
  <si>
    <t>CR0603-FX-1801ELF</t>
  </si>
  <si>
    <t>RC0603JR-7W10RL</t>
  </si>
  <si>
    <t>CR0603-FX-4702ELF</t>
  </si>
  <si>
    <t>CR0603-JW-432ELF</t>
  </si>
  <si>
    <t>CR0603AJ/-000EAS</t>
  </si>
  <si>
    <t>AC0603JR-104K7L</t>
  </si>
  <si>
    <t>CR0603-FX-2702ELF</t>
  </si>
  <si>
    <t>R303,R304,R305,R313,R315,R321,R334,R335,R336,R337,R338,R339,R349,R353,R362,R363,R317,R318,R319,R320,R507,R520,R606,R607,R611,R612,R700,R703,R704</t>
  </si>
  <si>
    <t>CRCW06034R70FKEAC</t>
  </si>
  <si>
    <t>R101,R102,R206,R207,R208,R209,R210,R211,R213,R360,R361,R400,R401,R402,R403,R404,R405,R408,R409,R413,R414,R417,R418,R419,R420,R500,R501,R502,R504,R506,R509,R510,R511,R516,R600,R601,R609,R610,R614,R702,R707,R709,R340,R341,R342,R343,R344,R345,R364,R365,R708</t>
  </si>
  <si>
    <t>0603WAJ0103TCE</t>
  </si>
  <si>
    <t>CR0603-FX-3301ELF</t>
  </si>
  <si>
    <t>R325,R326,R327,R354. R355,R356,R406,R407,R410,R411,R412,R503,R514,R517,R608,R613</t>
  </si>
  <si>
    <t>CR0603-FX-1001EPF</t>
  </si>
  <si>
    <t>RC0603FR-07470RL</t>
  </si>
  <si>
    <t>RC0603JR-0722RL</t>
  </si>
  <si>
    <t>560112116085</t>
  </si>
  <si>
    <t>RC0603DR-0733KL</t>
  </si>
  <si>
    <t>CR0603-FX-2212ELF</t>
  </si>
  <si>
    <t>CR0603-JW-121ELF</t>
  </si>
  <si>
    <t>LF80CDT-TR</t>
  </si>
  <si>
    <t>LD1117S33TR</t>
  </si>
  <si>
    <t>EXB-24V103JX</t>
  </si>
  <si>
    <t>PTS636SKG25JSMTR LFS</t>
  </si>
  <si>
    <t>NJM4556AM</t>
  </si>
  <si>
    <t>PCM5102APWR</t>
  </si>
  <si>
    <t>MCP1402T-E/OT</t>
  </si>
  <si>
    <t>STM32H750VBT</t>
  </si>
  <si>
    <t>W25Q32JWSSIQ</t>
  </si>
  <si>
    <t>74HC245D-Q100J</t>
  </si>
  <si>
    <t>CP2102N-A02-GQFN28R</t>
  </si>
  <si>
    <t>ESP32-S3-WROOM-1-N16R8</t>
  </si>
  <si>
    <t>Farnell</t>
  </si>
  <si>
    <t>Raspberry Pi 5 4GB</t>
  </si>
  <si>
    <t>TCAN1051VDRQ1</t>
  </si>
  <si>
    <t>MCP2515T-E/SO</t>
  </si>
  <si>
    <t>LM75BIMMX-5/NOPB</t>
  </si>
  <si>
    <t>LFXTAL071758Cutt</t>
  </si>
  <si>
    <t>CM7V-T1A-32.768kHz-12.5pF-20PPM-TC-QA</t>
  </si>
  <si>
    <t>HC49SDLF-8.00MHz</t>
  </si>
  <si>
    <t>Required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</si>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</sst>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 applyAlignment="1">
      <alignment horizontal="center"/>
    </xf>
    <xf numFmtId="0" fontId="0" fillId="0" borderId="8" xfId="0" applyBorder="1"/>
    <xf numFmtId="0" fontId="0" fillId="0" borderId="2" xfId="0" applyBorder="1"/>
    <xf numFmtId="0" fontId="0" fillId="0" borderId="7" xfId="0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1" fillId="0" borderId="3" xfId="1" applyBorder="1"/>
    <xf numFmtId="0" fontId="0" fillId="0" borderId="3" xfId="0" quotePrefix="1" applyBorder="1"/>
    <xf numFmtId="0" fontId="2" fillId="0" borderId="0" xfId="0" applyFont="1" applyAlignment="1">
      <alignment wrapText="1"/>
    </xf>
    <xf numFmtId="0" fontId="1" fillId="0" borderId="5" xfId="1" applyBorder="1"/>
    <xf numFmtId="0" fontId="0" fillId="0" borderId="3" xfId="0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ill>
        <patternFill>
          <bgColor theme="6" tint="0.39994506668294322"/>
        </patternFill>
      </fill>
    </dxf>
    <dxf>
      <fill>
        <patternFill>
          <bgColor rgb="FFFF9797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ouser.co.uk/ProductDetail/Bourns/SMAJ24A?qs=A3H9pljuJ8RK3%2FFerHGtzA%3D%3D" TargetMode="External"/><Relationship Id="rId21" Type="http://schemas.openxmlformats.org/officeDocument/2006/relationships/hyperlink" Target="https://www.mouser.co.uk/ProductDetail/KYOCERA-AVX/06033A220DAT2A?qs=sGAEpiMZZMsh%252B1woXyUXj1aFOXyPonrv4mu6BZj4B60%3D" TargetMode="External"/><Relationship Id="rId42" Type="http://schemas.openxmlformats.org/officeDocument/2006/relationships/hyperlink" Target="https://www.mouser.co.uk/ProductDetail/Molex/34959-0390?qs=Zz7%252BYVVL6bFXGwaF6xpqsw%3D%3D" TargetMode="External"/><Relationship Id="rId47" Type="http://schemas.openxmlformats.org/officeDocument/2006/relationships/hyperlink" Target="https://www.mouser.co.uk/ProductDetail/Rectron/BC817?qs=7pEAo90IqNG%2FF7QnbDH5iA%3D%3D" TargetMode="External"/><Relationship Id="rId63" Type="http://schemas.openxmlformats.org/officeDocument/2006/relationships/hyperlink" Target="https://www.mouser.co.uk/ProductDetail/YAGEO/RC0603JR-7W10RL?qs=qpJ%252B%252B%252Bdg6p3Vm%252BWSNdcdfQ%3D%3D" TargetMode="External"/><Relationship Id="rId68" Type="http://schemas.openxmlformats.org/officeDocument/2006/relationships/hyperlink" Target="https://www.mouser.co.uk/ProductDetail/Bourns/CR0603-FX-2702ELF?qs=I4suiNu8FYAlO3noFFocQg%3D%3D" TargetMode="External"/><Relationship Id="rId84" Type="http://schemas.openxmlformats.org/officeDocument/2006/relationships/hyperlink" Target="https://www.mouser.co.uk/ProductDetail/STMicroelectronics/LDO40LPURY?qs=qSfuJ%252Bfl%2Fd6C3Fwu6g7H1A%3D%3D" TargetMode="External"/><Relationship Id="rId89" Type="http://schemas.openxmlformats.org/officeDocument/2006/relationships/hyperlink" Target="https://www.mouser.co.uk/ProductDetail/Nisshinbo/NJM4556AM?qs=Dx6nUK05NTEu0NN353RDQw%3D%3D" TargetMode="External"/><Relationship Id="rId16" Type="http://schemas.openxmlformats.org/officeDocument/2006/relationships/hyperlink" Target="https://www.mouser.co.uk/ProductDetail/KEMET/C0603C474K4PACTM?qs=sGAEpiMZZMukHu%252BjC5l7Yfpaa9Bl0TzEyCwLMaDCyb0%3D" TargetMode="External"/><Relationship Id="rId11" Type="http://schemas.openxmlformats.org/officeDocument/2006/relationships/hyperlink" Target="https://www.mouser.co.uk/ProductDetail/TAIYO-YUDEN/MBASE168BB5475KTNA18?qs=sGAEpiMZZMvsSlwiRhF8qrQG6leidpLjce5ktJEao3cVDYg94M3vPw%3D%3D" TargetMode="External"/><Relationship Id="rId32" Type="http://schemas.openxmlformats.org/officeDocument/2006/relationships/hyperlink" Target="https://www.mouser.co.uk/ProductDetail/onsemi/ESD9B5.0ST5G?qs=HL4IEvuNMQqfrGPZiLZXfQ%3D%3D" TargetMode="External"/><Relationship Id="rId37" Type="http://schemas.openxmlformats.org/officeDocument/2006/relationships/hyperlink" Target="https://www.mouser.co.uk/ProductDetail/Pulse-Electronics/ABPY00160808121Y00?qs=rSMjJ%252B1ewcQ7GWEGy8n8qA%3D%3D" TargetMode="External"/><Relationship Id="rId53" Type="http://schemas.openxmlformats.org/officeDocument/2006/relationships/hyperlink" Target="https://www.mouser.co.uk/ProductDetail/YAGEO/AC0603FR-7W5K1L?qs=sGAEpiMZZMtlubZbdhIBICFms2LWLh%252BqfQFLeDnqVWM%3D" TargetMode="External"/><Relationship Id="rId58" Type="http://schemas.openxmlformats.org/officeDocument/2006/relationships/hyperlink" Target="https://www.mouser.co.uk/ProductDetail/Bourns/CR0603-JW-152ELF?qs=wOX%252BDVkMoZSu%252BfxzrcTI6Q%3D%3D" TargetMode="External"/><Relationship Id="rId74" Type="http://schemas.openxmlformats.org/officeDocument/2006/relationships/hyperlink" Target="https://www.mouser.co.uk/ProductDetail/Wurth-Elektronik/560112116085?qs=sGAEpiMZZMvdGkrng054t2cqbZCzJY7NlJf0LtA%252BzSfVG4Lvdyhn8A%3D%3D" TargetMode="External"/><Relationship Id="rId79" Type="http://schemas.openxmlformats.org/officeDocument/2006/relationships/hyperlink" Target="https://www.mouser.co.uk/ProductDetail/STMicroelectronics/LF80ABDT-TR?qs=rQxjsk9FJaKqWqynhzWMLQ%3D%3D" TargetMode="External"/><Relationship Id="rId102" Type="http://schemas.openxmlformats.org/officeDocument/2006/relationships/hyperlink" Target="https://www.mouser.co.uk/ProductDetail/IQD/LFXTAL071758Cutt?qs=nFovR%252B4R4UN8RYPh9I588Q%3D%3D" TargetMode="External"/><Relationship Id="rId5" Type="http://schemas.openxmlformats.org/officeDocument/2006/relationships/hyperlink" Target="https://www.mouser.co.uk/ProductDetail/Elna/RSVVS010M1UBC3001U?qs=4ASt3YYao0XVkuo7v80YiA%3D%3D" TargetMode="External"/><Relationship Id="rId90" Type="http://schemas.openxmlformats.org/officeDocument/2006/relationships/hyperlink" Target="https://www.mouser.co.uk/ProductDetail/Skyworks-Solutions-Inc/SI4703-C19-GM?qs=JiL6vA75y8O1ZAxL45qs%252BQ%3D%3D" TargetMode="External"/><Relationship Id="rId95" Type="http://schemas.openxmlformats.org/officeDocument/2006/relationships/hyperlink" Target="https://www.mouser.co.uk/ProductDetail/Nexperia/74HC245D-Q100J?qs=fi7yB2oewZl7Ar%2FomFTdgQ%3D%3D" TargetMode="External"/><Relationship Id="rId22" Type="http://schemas.openxmlformats.org/officeDocument/2006/relationships/hyperlink" Target="https://www.mouser.co.uk/ProductDetail/KYOCERA-AVX/06033A220DAT2A?qs=sGAEpiMZZMsh%252B1woXyUXj1aFOXyPonrv4mu6BZj4B60%3D" TargetMode="External"/><Relationship Id="rId27" Type="http://schemas.openxmlformats.org/officeDocument/2006/relationships/hyperlink" Target="https://www.mouser.co.uk/ProductDetail/Taiwan-Semiconductor/1PGSMA4744H?qs=lc2O%252BfHJPVY6dYy4zPUhBQ%3D%3D" TargetMode="External"/><Relationship Id="rId43" Type="http://schemas.openxmlformats.org/officeDocument/2006/relationships/hyperlink" Target="https://www.mouser.co.uk/ProductDetail/Amphenol-RF/2FA1-NCSP-PCBB6?qs=hWgE7mdIu5RJuEY7QFoJaQ%3D%3D" TargetMode="External"/><Relationship Id="rId48" Type="http://schemas.openxmlformats.org/officeDocument/2006/relationships/hyperlink" Target="https://www.mouser.co.uk/ProductDetail/Vishay-Semiconductors/SQJ407EP-T1_GE3?qs=5aG0NVq1C4xX2SBP0n1NTg%3D%3D" TargetMode="External"/><Relationship Id="rId64" Type="http://schemas.openxmlformats.org/officeDocument/2006/relationships/hyperlink" Target="https://www.mouser.co.uk/ProductDetail/Bourns/CR0603-FX-4702ELF?qs=CCIlxZRRv7h9SmHwXOyFMw%3D%3D" TargetMode="External"/><Relationship Id="rId69" Type="http://schemas.openxmlformats.org/officeDocument/2006/relationships/hyperlink" Target="https://www.mouser.co.uk/ProductDetail/Vishay/CRCW06034R70FKEAC?qs=sGAEpiMZZMukHu%252BjC5l7Yc9NSHzGyJyz5QYFQH1hiM4%3D" TargetMode="External"/><Relationship Id="rId80" Type="http://schemas.openxmlformats.org/officeDocument/2006/relationships/hyperlink" Target="https://www.mouser.co.uk/ProductDetail/STMicroelectronics/LD1117S33TR?qs=edoyzKMbmhntQZx4BFmoqw%3D%3D" TargetMode="External"/><Relationship Id="rId85" Type="http://schemas.openxmlformats.org/officeDocument/2006/relationships/hyperlink" Target="https://www.mouser.co.uk/ProductDetail/Panasonic/EXB-24V103JX?qs=oE3VwAv%2FYtkgg9h0ON1hVg%3D%3D" TargetMode="External"/><Relationship Id="rId12" Type="http://schemas.openxmlformats.org/officeDocument/2006/relationships/hyperlink" Target="https://www.mouser.co.uk/ProductDetail/Murata-Electronics/GRM188D70J226ME01D?qs=sGAEpiMZZMsh%252B1woXyUXj091SOyvqfY8UId4RhSEodI%3D" TargetMode="External"/><Relationship Id="rId17" Type="http://schemas.openxmlformats.org/officeDocument/2006/relationships/hyperlink" Target="https://www.mouser.co.uk/ProductDetail/TAIYO-YUDEN/MCASL21GSB7225KTNA1J?qs=tlsG%2FOw5FFguOmt6f5zPzQ%3D%3D" TargetMode="External"/><Relationship Id="rId25" Type="http://schemas.openxmlformats.org/officeDocument/2006/relationships/hyperlink" Target="https://www.mouser.co.uk/ProductDetail/ROHM-Semiconductor/RF05VYM1SFHTR?qs=4v%252BiZTmLVHEBI5apodawUw%3D%3D" TargetMode="External"/><Relationship Id="rId33" Type="http://schemas.openxmlformats.org/officeDocument/2006/relationships/hyperlink" Target="https://www.mouser.co.uk/ProductDetail/Texas-Instruments/ESD2CAN24DBZRQ1?qs=Y0Uzf4wQF3knJz9mU6BNuw%3D%3D" TargetMode="External"/><Relationship Id="rId38" Type="http://schemas.openxmlformats.org/officeDocument/2006/relationships/hyperlink" Target="https://www.mouser.co.uk/ProductDetail/Same-Sky/UJ20-C-H-G-SMT-2A-P16-TR?qs=6avfeC6zeS4lRZlgHZHlwQ%3D%3D" TargetMode="External"/><Relationship Id="rId46" Type="http://schemas.openxmlformats.org/officeDocument/2006/relationships/hyperlink" Target="https://www.mouser.co.uk/ProductDetail/TDK/NLCV32T-100J-EFRD?qs=6avfeC6zeS43g1Pl%252BxWcqA%3D%3D" TargetMode="External"/><Relationship Id="rId59" Type="http://schemas.openxmlformats.org/officeDocument/2006/relationships/hyperlink" Target="https://www.mouser.co.uk/ProductDetail/Bourns/CR0603-FX-2201ELF?qs=zx2075yZkZKUzLkJq4yLqg%3D%3D" TargetMode="External"/><Relationship Id="rId67" Type="http://schemas.openxmlformats.org/officeDocument/2006/relationships/hyperlink" Target="https://www.mouser.co.uk/ProductDetail/YAGEO/AC0603JR-104K7L?qs=r5DSvlrkXmI4EipxgBaQVg%3D%3D" TargetMode="External"/><Relationship Id="rId103" Type="http://schemas.openxmlformats.org/officeDocument/2006/relationships/hyperlink" Target="https://www.mouser.co.uk/ProductDetail/Micro-Crystal/CM7V-T1A-32.768kHz-12.5pF-20PPM-TC-QA?qs=7bTaA%2FLYtSZiFIX6O9UYOA%3D%3D" TargetMode="External"/><Relationship Id="rId20" Type="http://schemas.openxmlformats.org/officeDocument/2006/relationships/hyperlink" Target="https://www.mouser.co.uk/ProductDetail/Panasonic/EEE-FT1C221AL?qs=vmHwEFxEFR9Pfq5G0xjCHw%3D%3D" TargetMode="External"/><Relationship Id="rId41" Type="http://schemas.openxmlformats.org/officeDocument/2006/relationships/hyperlink" Target="https://www.mouser.co.uk/ProductDetail/Molex/34958-0383?qs=Zz7%252BYVVL6bGxJEg%252BS51b4A%3D%3D" TargetMode="External"/><Relationship Id="rId54" Type="http://schemas.openxmlformats.org/officeDocument/2006/relationships/hyperlink" Target="https://www.mouser.co.uk/ProductDetail/Bourns/CR0603-JW-623ELF?qs=sGAEpiMZZMukHu%252BjC5l7YVcPbNgcGbFVZFxywTLHaps%3D" TargetMode="External"/><Relationship Id="rId62" Type="http://schemas.openxmlformats.org/officeDocument/2006/relationships/hyperlink" Target="https://www.mouser.co.uk/ProductDetail/Bourns/CR0603-FX-1801ELF?qs=sGAEpiMZZMukHu%252BjC5l7YQRZF4mhyt0ASTgAOD6jxl0%3D" TargetMode="External"/><Relationship Id="rId70" Type="http://schemas.openxmlformats.org/officeDocument/2006/relationships/hyperlink" Target="https://www.mouser.co.uk/ProductDetail/Bourns/CR0603-FX-1001EPF?qs=sGAEpiMZZMvdGkrng054t2cqbZCzJY7NyLPI0qsjVVoXr8t57oNyzw%3D%3D" TargetMode="External"/><Relationship Id="rId75" Type="http://schemas.openxmlformats.org/officeDocument/2006/relationships/hyperlink" Target="https://www.mouser.co.uk/ProductDetail/YAGEO/RC0603DR-0733KL?qs=sGAEpiMZZMvdGkrng054t%2FfaBwA2A0dSRzAqQDsa1CQ%3D" TargetMode="External"/><Relationship Id="rId83" Type="http://schemas.openxmlformats.org/officeDocument/2006/relationships/hyperlink" Target="https://www.mouser.co.uk/ProductDetail/onsemi/NCV317MBDTRKG?qs=u61i7LeC7JdMf7rjvmy4qA%3D%3D" TargetMode="External"/><Relationship Id="rId88" Type="http://schemas.openxmlformats.org/officeDocument/2006/relationships/hyperlink" Target="https://www.mouser.co.uk/ProductDetail/STMicroelectronics/TDA7388?qs=zDsuRuHENM8sRq8DuFBdHA%3D%3D" TargetMode="External"/><Relationship Id="rId91" Type="http://schemas.openxmlformats.org/officeDocument/2006/relationships/hyperlink" Target="https://www.mouser.co.uk/ProductDetail/Texas-Instruments/PCM5102APWR?qs=E2%2FxqS9xjzrfECkwEYoiyg%3D%3D" TargetMode="External"/><Relationship Id="rId96" Type="http://schemas.openxmlformats.org/officeDocument/2006/relationships/hyperlink" Target="https://www.mouser.co.uk/ProductDetail/Silicon-Labs/CP2102N-A02-GQFN28R?qs=u16ybLDytRag4qKvSH3fTw%3D%3D" TargetMode="External"/><Relationship Id="rId1" Type="http://schemas.openxmlformats.org/officeDocument/2006/relationships/hyperlink" Target="https://www.mouser.co.uk/ProductDetail/KYOCERA-AVX/AEH0608100M050R?qs=MyNHzdoqoQI9jDRNumUOww%3D%3D" TargetMode="External"/><Relationship Id="rId6" Type="http://schemas.openxmlformats.org/officeDocument/2006/relationships/hyperlink" Target="https://www.mouser.co.uk/ProductDetail/KYOCERA-AVX/0603DD106MAT2A?qs=tlsG%2FOw5FFj9d7E8womxdg%3D%3D" TargetMode="External"/><Relationship Id="rId15" Type="http://schemas.openxmlformats.org/officeDocument/2006/relationships/hyperlink" Target="https://www.mouser.co.uk/ProductDetail/KEMET/C0805C105M4RACAUTO?qs=zDkSFN9STR%2FQblumrygq6Q%3D%3D" TargetMode="External"/><Relationship Id="rId23" Type="http://schemas.openxmlformats.org/officeDocument/2006/relationships/hyperlink" Target="https://www.mouser.co.uk/ProductDetail/Vishay-Vitramon/VJ0603D120JXPAJ?qs=f%252BL2SN1Gfcvl7MAprf%252Bw%2FA%3D%3D" TargetMode="External"/><Relationship Id="rId28" Type="http://schemas.openxmlformats.org/officeDocument/2006/relationships/hyperlink" Target="https://www.mouser.co.uk/ProductDetail/Dialight/599-1010-147F?qs=3GbUB62Nf7eZvIrTUxTNgA%3D%3D" TargetMode="External"/><Relationship Id="rId36" Type="http://schemas.openxmlformats.org/officeDocument/2006/relationships/hyperlink" Target="https://www.mouser.co.uk/ProductDetail/Murata-Electronics/BLM18RK102SN1D?qs=%252BZb2rAcz85rrD89adt6lAQ%3D%3D" TargetMode="External"/><Relationship Id="rId49" Type="http://schemas.openxmlformats.org/officeDocument/2006/relationships/hyperlink" Target="https://www.mouser.co.uk/ProductDetail/TE-Connectivity-Holsworthy/CRG0603F22K-10?qs=9ylKvqdyudmQ1ZF2LQQoZA%3D%3D" TargetMode="External"/><Relationship Id="rId57" Type="http://schemas.openxmlformats.org/officeDocument/2006/relationships/hyperlink" Target="https://www.mouser.co.uk/ProductDetail/Bourns/CR0603-FX-2400ELF?qs=I4suiNu8FYBRQqwAwbm7zw%3D%3D" TargetMode="External"/><Relationship Id="rId10" Type="http://schemas.openxmlformats.org/officeDocument/2006/relationships/hyperlink" Target="https://www.mouser.co.uk/ProductDetail/Murata-Electronics/GRM188R60J476ME01J?qs=pUKx8fyJudCHNFLdg5iCYA%3D%3D" TargetMode="External"/><Relationship Id="rId31" Type="http://schemas.openxmlformats.org/officeDocument/2006/relationships/hyperlink" Target="https://www.mouser.co.uk/ProductDetail/Diotec-Semiconductor/BAT54W?qs=OlC7AqGiEDlMBXEhja5nBg%3D%3D" TargetMode="External"/><Relationship Id="rId44" Type="http://schemas.openxmlformats.org/officeDocument/2006/relationships/hyperlink" Target="https://www.mouser.co.uk/ProductDetail/Coilcraft/XAL7030-472MEC?qs=zCSbvcPd3paDmbzDaM4bvA%3D%3D" TargetMode="External"/><Relationship Id="rId52" Type="http://schemas.openxmlformats.org/officeDocument/2006/relationships/hyperlink" Target="https://www.mouser.co.uk/ProductDetail/SEI-Stackpole/RMCF1210JT180R?qs=IPgv5n7u5QaiAbC7MQ%252BkTQ%3D%3D" TargetMode="External"/><Relationship Id="rId60" Type="http://schemas.openxmlformats.org/officeDocument/2006/relationships/hyperlink" Target="https://www.mouser.co.uk/ProductDetail/Bourns/CR0603-JW-202ELF?qs=QNvGIbmBFedJvqrSZNeMIw%3D%3D" TargetMode="External"/><Relationship Id="rId65" Type="http://schemas.openxmlformats.org/officeDocument/2006/relationships/hyperlink" Target="https://www.mouser.co.uk/ProductDetail/Bourns/CR0603-JW-432ELF?qs=sGAEpiMZZMtlubZbdhIBIN4pzcyTCT7wMljvSSF4MK0%3D" TargetMode="External"/><Relationship Id="rId73" Type="http://schemas.openxmlformats.org/officeDocument/2006/relationships/hyperlink" Target="https://www.mouser.co.uk/ProductDetail/YAGEO/RC0603JR-0722RL?qs=sGAEpiMZZMvdGkrng054t8Tx25L%252BvTaRuOMpix62HAk%3D" TargetMode="External"/><Relationship Id="rId78" Type="http://schemas.openxmlformats.org/officeDocument/2006/relationships/hyperlink" Target="https://www.mouser.co.uk/ProductDetail/Texas-Instruments/TPS7B8233QDGNRQ1?qs=gTYE2QTfZfTgserf%2FHg6KA%3D%3D" TargetMode="External"/><Relationship Id="rId81" Type="http://schemas.openxmlformats.org/officeDocument/2006/relationships/hyperlink" Target="https://www.mouser.co.uk/ProductDetail/Monolithic-Power-Systems-MPS/MPQ4317GRE-5-AEC1-P?qs=TCDPyi3sCW0vJRwueQiqmQ%3D%3D" TargetMode="External"/><Relationship Id="rId86" Type="http://schemas.openxmlformats.org/officeDocument/2006/relationships/hyperlink" Target="https://www.mouser.co.uk/ProductDetail/CK/PTS636SKG25JSMTR-LFS?qs=jcD%2FCkGBYeNo6fuer6a%2Fog%3D%3D" TargetMode="External"/><Relationship Id="rId94" Type="http://schemas.openxmlformats.org/officeDocument/2006/relationships/hyperlink" Target="https://www.mouser.co.uk/ProductDetail/Winbond/W25Q32JWSSIQ?qs=qSfuJ%252Bfl%2Fd7AWkQW3HAQ%252Bw%3D%3D" TargetMode="External"/><Relationship Id="rId99" Type="http://schemas.openxmlformats.org/officeDocument/2006/relationships/hyperlink" Target="https://www.mouser.co.uk/ProductDetail/Texas-Instruments/TCAN1051VDRQ1?qs=dSktwyqbRaUHuzLGCY%2FY8w%3D%3D" TargetMode="External"/><Relationship Id="rId101" Type="http://schemas.openxmlformats.org/officeDocument/2006/relationships/hyperlink" Target="https://www.mouser.co.uk/ProductDetail/Texas-Instruments/LM75BIMMX-5-NOPB?qs=QbsRYf82W3E9QxE2qGaF1g%3D%3D" TargetMode="External"/><Relationship Id="rId4" Type="http://schemas.openxmlformats.org/officeDocument/2006/relationships/hyperlink" Target="https://www.mouser.co.uk/ProductDetail/KEMET/EDT227M035A9PAA?qs=E9QF1UCAUX4pNM%252BmAGR2%252Bg%3D%3D" TargetMode="External"/><Relationship Id="rId9" Type="http://schemas.openxmlformats.org/officeDocument/2006/relationships/hyperlink" Target="https://www.mouser.co.uk/ProductDetail/Panasonic/EEE-TG1V470UP?qs=aAAGLDy8P2zoL3Y76F8z7Q%3D%3D" TargetMode="External"/><Relationship Id="rId13" Type="http://schemas.openxmlformats.org/officeDocument/2006/relationships/hyperlink" Target="https://www.mouser.co.uk/ProductDetail/Panasonic/EEE-FN1C471L?qs=vmHwEFxEFR8QsHsuXLyd8Q%3D%3D" TargetMode="External"/><Relationship Id="rId18" Type="http://schemas.openxmlformats.org/officeDocument/2006/relationships/hyperlink" Target="https://www.mouser.co.uk/ProductDetail/KYOCERA-AVX/KGM21AR51C106MU?qs=9vOqFld9vZXNtlZ6Q186bg%3D%3D" TargetMode="External"/><Relationship Id="rId39" Type="http://schemas.openxmlformats.org/officeDocument/2006/relationships/hyperlink" Target="https://www.mouser.co.uk/ProductDetail/Switchcraft/35RASMT6CHNTRX?qs=tlsG%2FOw5FFjAOUhC8CJiRQ%3D%3D" TargetMode="External"/><Relationship Id="rId34" Type="http://schemas.openxmlformats.org/officeDocument/2006/relationships/hyperlink" Target="../../../../../../../Downloads/COM-24837" TargetMode="External"/><Relationship Id="rId50" Type="http://schemas.openxmlformats.org/officeDocument/2006/relationships/hyperlink" Target="https://www.mouser.co.uk/ProductDetail/Royalohm/0603WAJ0103TCE?qs=sGAEpiMZZMvdGkrng054txLI%2FDB4oIKDPSmy8jV1dFssP2HK4ezNoA%3D%3D" TargetMode="External"/><Relationship Id="rId55" Type="http://schemas.openxmlformats.org/officeDocument/2006/relationships/hyperlink" Target="https://www.mouser.co.uk/ProductDetail/Bourns/CR0603-JW-513ELF?qs=tknLyCMIRbODFBOq4KB%2Fuw%3D%3D" TargetMode="External"/><Relationship Id="rId76" Type="http://schemas.openxmlformats.org/officeDocument/2006/relationships/hyperlink" Target="https://www.mouser.co.uk/ProductDetail/Bourns/CR0603-FX-2212ELF?qs=sGAEpiMZZMvdGkrng054t%252BRNGJdg958RTwL2gaq%2FFFo%3D" TargetMode="External"/><Relationship Id="rId97" Type="http://schemas.openxmlformats.org/officeDocument/2006/relationships/hyperlink" Target="https://www.mouser.co.uk/ProductDetail/Espressif-Systems/ESP32-S3-WROOM-1-N16R8?qs=Li%252BoUPsLEnvQc9gW6AMhZg%3D%3D" TargetMode="External"/><Relationship Id="rId104" Type="http://schemas.openxmlformats.org/officeDocument/2006/relationships/hyperlink" Target="https://www.mouser.co.uk/ProductDetail/Fox-Abracon/HC49SDLF-8.00MHz?qs=zaGjUjd0x6RJRj%2Fgg2Mq7A%3D%3D" TargetMode="External"/><Relationship Id="rId7" Type="http://schemas.openxmlformats.org/officeDocument/2006/relationships/hyperlink" Target="https://www.mouser.co.uk/ProductDetail/KEMET/C0603C223J1RECAUTO?qs=sGAEpiMZZMsh%252B1woXyUXj7ssM%2FlPAgqz%252BkFFU9cYoRQ%3D" TargetMode="External"/><Relationship Id="rId71" Type="http://schemas.openxmlformats.org/officeDocument/2006/relationships/hyperlink" Target="https://www.mouser.co.uk/ProductDetail/Bourns/CR0603-FX-3301ELF?qs=I4suiNu8FYAeN75YxKNWXA%3D%3D" TargetMode="External"/><Relationship Id="rId92" Type="http://schemas.openxmlformats.org/officeDocument/2006/relationships/hyperlink" Target="https://www.mouser.co.uk/ProductDetail/Microchip-Technology/MCP1402T-E-OT?qs=aE5D7Pt6ky3dpBpieBLY3A%3D%3D" TargetMode="External"/><Relationship Id="rId2" Type="http://schemas.openxmlformats.org/officeDocument/2006/relationships/hyperlink" Target="https://www.mouser.co.uk/ProductDetail/KYOCERA-AVX/06035C104K4T2A?qs=46Fswce4YXm2eEM3XUkmsQ%3D%3D" TargetMode="External"/><Relationship Id="rId29" Type="http://schemas.openxmlformats.org/officeDocument/2006/relationships/hyperlink" Target="https://www.mouser.co.uk/ProductDetail/Vishay-General-Semiconductor/SA36CA-E3-54?qs=H0q%2F6UITyJirsDDCEHB6Mg%3D%3D" TargetMode="External"/><Relationship Id="rId24" Type="http://schemas.openxmlformats.org/officeDocument/2006/relationships/hyperlink" Target="https://www.mouser.co.uk/ProductDetail/KYOCERA-AVX/06035U150FAT2A?qs=sGAEpiMZZMsh%252B1woXyUXj0FJMbLwS4YH8xDIXid3%252BEU%3D" TargetMode="External"/><Relationship Id="rId40" Type="http://schemas.openxmlformats.org/officeDocument/2006/relationships/hyperlink" Target="https://www.mouser.co.uk/ProductDetail/JST-Commercial/PHDR-28VS?qs=QpmGXVUTftGCZ07TNYaQpw%3D%3D" TargetMode="External"/><Relationship Id="rId45" Type="http://schemas.openxmlformats.org/officeDocument/2006/relationships/hyperlink" Target="https://www.mouser.co.uk/ProductDetail/Bourns/SRP5030HMT-100M?qs=Tc%252BHE9vUsntweIXd4XNonQ%3D%3D" TargetMode="External"/><Relationship Id="rId66" Type="http://schemas.openxmlformats.org/officeDocument/2006/relationships/hyperlink" Target="https://www.mouser.co.uk/ProductDetail/Bourns/CR0603AJ-000EAS?qs=PzGy0jfpSMtRj%252B7fJP4d3A%3D%3D" TargetMode="External"/><Relationship Id="rId87" Type="http://schemas.openxmlformats.org/officeDocument/2006/relationships/hyperlink" Target="https://www.mouser.co.uk/ProductDetail/STMicroelectronics/TDA7719?qs=pW7VN3fQ%252BU8DQGKC11TzWg%3D%3D" TargetMode="External"/><Relationship Id="rId61" Type="http://schemas.openxmlformats.org/officeDocument/2006/relationships/hyperlink" Target="https://www.mouser.co.uk/ProductDetail/Bourns/CR0603-FX-1202ELF?qs=e7cxVwPieuqIXTNAyS26aw%3D%3D" TargetMode="External"/><Relationship Id="rId82" Type="http://schemas.openxmlformats.org/officeDocument/2006/relationships/hyperlink" Target="https://www.mouser.co.uk/ProductDetail/onsemi/NCV1117DT33T5G?qs=8sOby8ZxZLGSqIbW45S1Hw%3D%3D" TargetMode="External"/><Relationship Id="rId19" Type="http://schemas.openxmlformats.org/officeDocument/2006/relationships/hyperlink" Target="https://www.mouser.co.uk/ProductDetail/Panasonic/EEE-FK1E472SM?qs=BZBei1rCqCCdye13ZQ7qPQ%3D%3D" TargetMode="External"/><Relationship Id="rId14" Type="http://schemas.openxmlformats.org/officeDocument/2006/relationships/hyperlink" Target="https://www.mouser.co.uk/ProductDetail/KEMET/EDH475M035A9BAA?qs=E9QF1UCAUX6vP1%252BGIzmYew%3D%3D" TargetMode="External"/><Relationship Id="rId30" Type="http://schemas.openxmlformats.org/officeDocument/2006/relationships/hyperlink" Target="https://www.mouser.co.uk/ProductDetail/Diotec-Semiconductor/NUP2105L?qs=OlC7AqGiEDnwfsnn7%252BuLZg%3D%3D" TargetMode="External"/><Relationship Id="rId35" Type="http://schemas.openxmlformats.org/officeDocument/2006/relationships/hyperlink" Target="https://www.mouser.co.uk/ProductDetail/Taiwan-Semiconductor/SS14?qs=JV7lzlMm3yLIdi0ESVd3YQ%3D%3D" TargetMode="External"/><Relationship Id="rId56" Type="http://schemas.openxmlformats.org/officeDocument/2006/relationships/hyperlink" Target="https://www.mouser.co.uk/ProductDetail/Bourns/CR0603-JW-104ELF?qs=wOX%252BDVkMoZSK2gq9cFrtRg%3D%3D" TargetMode="External"/><Relationship Id="rId77" Type="http://schemas.openxmlformats.org/officeDocument/2006/relationships/hyperlink" Target="https://www.mouser.co.uk/ProductDetail/Bourns/CR0603-JW-121ELF?qs=sGAEpiMZZMvdGkrng054tyx9FYqKR9loaPITIUOle2M%3D" TargetMode="External"/><Relationship Id="rId100" Type="http://schemas.openxmlformats.org/officeDocument/2006/relationships/hyperlink" Target="https://www.mouser.co.uk/ProductDetail/Microchip-Technology/MCP2515T-E-SO?qs=YUl711QUJY3%2FLJ5ChGwQqA%3D%3D" TargetMode="External"/><Relationship Id="rId8" Type="http://schemas.openxmlformats.org/officeDocument/2006/relationships/hyperlink" Target="https://www.mouser.co.uk/ProductDetail/KEMET/EDT107M050A9PAA?qs=E9QF1UCAUX41fhlT8nGb9A%3D%3D" TargetMode="External"/><Relationship Id="rId51" Type="http://schemas.openxmlformats.org/officeDocument/2006/relationships/hyperlink" Target="https://www.mouser.co.uk/ProductDetail/SEI-Stackpole/RNCF0603BTE2K50?qs=sGAEpiMZZMvdGkrng054tzrpBd13L%252B8iUJ9IMXWgK8VV8mhiNcYiIQ%3D%3D" TargetMode="External"/><Relationship Id="rId72" Type="http://schemas.openxmlformats.org/officeDocument/2006/relationships/hyperlink" Target="https://www.mouser.co.uk/ProductDetail/YAGEO/RC0603FR-07470RL?qs=sGAEpiMZZMvdGkrng054t8Tx25L%252BvTaRPdCiYK0d1NI%3D" TargetMode="External"/><Relationship Id="rId93" Type="http://schemas.openxmlformats.org/officeDocument/2006/relationships/hyperlink" Target="https://www.mouser.co.uk/ProductDetail/STMicroelectronics/STM32H750VBT6?qs=%252BEew9%252B0nqrBAeuu%2FsQQSzQ%3D%3D" TargetMode="External"/><Relationship Id="rId98" Type="http://schemas.openxmlformats.org/officeDocument/2006/relationships/hyperlink" Target="https://uk.farnell.com/raspberry-pi/rpi5-4gb-single/rpi-5-board-2-4ghz-4gb-arm-cortex/dp/4255998" TargetMode="External"/><Relationship Id="rId3" Type="http://schemas.openxmlformats.org/officeDocument/2006/relationships/hyperlink" Target="https://www.mouser.co.uk/ProductDetail/Panasonic/EEE-HC1C100R?qs=Ywefl8B65e5dk7Zi6ZTZR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09"/>
  <sheetViews>
    <sheetView tabSelected="1" topLeftCell="A79" zoomScaleNormal="100" workbookViewId="0">
      <selection activeCell="D107" sqref="D107"/>
    </sheetView>
  </sheetViews>
  <sheetFormatPr defaultColWidth="8.6640625" defaultRowHeight="14.25" x14ac:dyDescent="0.45"/>
  <cols>
    <col min="2" max="2" width="35" customWidth="1"/>
    <col min="3" max="3" width="8" customWidth="1"/>
    <col min="4" max="4" width="38.1328125" customWidth="1"/>
    <col min="5" max="5" width="25" customWidth="1"/>
    <col min="6" max="6" width="15" customWidth="1"/>
    <col min="7" max="7" width="32.6640625" customWidth="1"/>
    <col min="8" max="9" width="15" customWidth="1"/>
    <col min="10" max="10" width="12" customWidth="1"/>
  </cols>
  <sheetData>
    <row r="2" spans="2:10" x14ac:dyDescent="0.45">
      <c r="B2" s="1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296</v>
      </c>
      <c r="J2" s="5" t="s">
        <v>7</v>
      </c>
    </row>
    <row r="3" spans="2:10" x14ac:dyDescent="0.45">
      <c r="B3" s="9" t="s">
        <v>8</v>
      </c>
      <c r="C3" s="2">
        <v>1</v>
      </c>
      <c r="D3" s="2" t="s">
        <v>9</v>
      </c>
      <c r="E3" s="2" t="s">
        <v>191</v>
      </c>
      <c r="F3" s="2" t="s">
        <v>189</v>
      </c>
      <c r="G3" s="11" t="s">
        <v>189</v>
      </c>
      <c r="H3" s="2">
        <v>0.39</v>
      </c>
      <c r="I3" s="15" t="s">
        <v>297</v>
      </c>
      <c r="J3" s="2">
        <f>IF(I3="Y",C3*H3,0)</f>
        <v>0.39</v>
      </c>
    </row>
    <row r="4" spans="2:10" ht="99.75" x14ac:dyDescent="0.45">
      <c r="B4" s="8" t="s">
        <v>214</v>
      </c>
      <c r="C4" s="2">
        <v>46</v>
      </c>
      <c r="D4" s="2" t="s">
        <v>10</v>
      </c>
      <c r="E4" s="2" t="s">
        <v>190</v>
      </c>
      <c r="F4" s="2" t="s">
        <v>189</v>
      </c>
      <c r="G4" s="11" t="s">
        <v>189</v>
      </c>
      <c r="H4" s="2">
        <v>2.4E-2</v>
      </c>
      <c r="I4" s="15" t="s">
        <v>297</v>
      </c>
      <c r="J4" s="2">
        <f t="shared" ref="J4:J67" si="0">IF(I4="Y",C4*H4,0)</f>
        <v>1.1040000000000001</v>
      </c>
    </row>
    <row r="5" spans="2:10" x14ac:dyDescent="0.45">
      <c r="B5" s="9" t="s">
        <v>11</v>
      </c>
      <c r="C5" s="2">
        <v>6</v>
      </c>
      <c r="D5" s="2" t="s">
        <v>9</v>
      </c>
      <c r="E5" s="2" t="s">
        <v>192</v>
      </c>
      <c r="F5" s="2" t="s">
        <v>189</v>
      </c>
      <c r="G5" s="11" t="s">
        <v>189</v>
      </c>
      <c r="H5" s="2">
        <v>0.28499999999999998</v>
      </c>
      <c r="I5" s="15" t="s">
        <v>297</v>
      </c>
      <c r="J5" s="2">
        <f t="shared" si="0"/>
        <v>1.71</v>
      </c>
    </row>
    <row r="6" spans="2:10" x14ac:dyDescent="0.45">
      <c r="B6" s="9" t="s">
        <v>12</v>
      </c>
      <c r="C6" s="2">
        <v>1</v>
      </c>
      <c r="D6" s="2" t="s">
        <v>13</v>
      </c>
      <c r="E6" s="2" t="s">
        <v>193</v>
      </c>
      <c r="F6" s="2" t="s">
        <v>189</v>
      </c>
      <c r="G6" s="11" t="s">
        <v>189</v>
      </c>
      <c r="H6" s="2">
        <v>0.45800000000000002</v>
      </c>
      <c r="I6" s="15" t="s">
        <v>297</v>
      </c>
      <c r="J6" s="2">
        <f t="shared" si="0"/>
        <v>0.45800000000000002</v>
      </c>
    </row>
    <row r="7" spans="2:10" x14ac:dyDescent="0.45">
      <c r="B7" s="9" t="s">
        <v>203</v>
      </c>
      <c r="C7" s="2">
        <v>2</v>
      </c>
      <c r="D7" s="2" t="s">
        <v>14</v>
      </c>
      <c r="E7" s="2" t="s">
        <v>194</v>
      </c>
      <c r="F7" s="2" t="s">
        <v>189</v>
      </c>
      <c r="G7" s="11" t="s">
        <v>189</v>
      </c>
      <c r="H7" s="2">
        <v>0.29199999999999998</v>
      </c>
      <c r="I7" s="15" t="s">
        <v>297</v>
      </c>
      <c r="J7" s="2">
        <f t="shared" si="0"/>
        <v>0.58399999999999996</v>
      </c>
    </row>
    <row r="8" spans="2:10" x14ac:dyDescent="0.45">
      <c r="B8" s="9" t="s">
        <v>216</v>
      </c>
      <c r="C8" s="2">
        <v>7</v>
      </c>
      <c r="D8" s="2" t="s">
        <v>9</v>
      </c>
      <c r="E8" s="2" t="s">
        <v>195</v>
      </c>
      <c r="F8" s="2" t="s">
        <v>189</v>
      </c>
      <c r="G8" s="11" t="s">
        <v>189</v>
      </c>
      <c r="H8" s="2">
        <v>0.223</v>
      </c>
      <c r="I8" s="15" t="s">
        <v>297</v>
      </c>
      <c r="J8" s="2">
        <f t="shared" si="0"/>
        <v>1.5609999999999999</v>
      </c>
    </row>
    <row r="9" spans="2:10" x14ac:dyDescent="0.45">
      <c r="B9" s="9" t="s">
        <v>15</v>
      </c>
      <c r="C9" s="2">
        <v>1</v>
      </c>
      <c r="D9" s="2" t="s">
        <v>16</v>
      </c>
      <c r="E9" s="2" t="s">
        <v>196</v>
      </c>
      <c r="F9" s="2" t="s">
        <v>189</v>
      </c>
      <c r="G9" s="11" t="s">
        <v>189</v>
      </c>
      <c r="H9" s="2">
        <v>0.16500000000000001</v>
      </c>
      <c r="I9" s="15" t="s">
        <v>297</v>
      </c>
      <c r="J9" s="2">
        <f t="shared" si="0"/>
        <v>0.16500000000000001</v>
      </c>
    </row>
    <row r="10" spans="2:10" x14ac:dyDescent="0.45">
      <c r="B10" s="9" t="s">
        <v>17</v>
      </c>
      <c r="C10" s="2">
        <v>1</v>
      </c>
      <c r="D10" s="2" t="s">
        <v>18</v>
      </c>
      <c r="E10" s="2" t="s">
        <v>197</v>
      </c>
      <c r="F10" s="2" t="s">
        <v>189</v>
      </c>
      <c r="G10" s="11" t="s">
        <v>189</v>
      </c>
      <c r="H10" s="2">
        <v>0.73599999999999999</v>
      </c>
      <c r="I10" s="15" t="s">
        <v>297</v>
      </c>
      <c r="J10" s="2">
        <f t="shared" si="0"/>
        <v>0.73599999999999999</v>
      </c>
    </row>
    <row r="11" spans="2:10" x14ac:dyDescent="0.45">
      <c r="B11" s="9" t="s">
        <v>19</v>
      </c>
      <c r="C11" s="2">
        <v>2</v>
      </c>
      <c r="D11" s="2" t="s">
        <v>20</v>
      </c>
      <c r="E11" s="2" t="s">
        <v>198</v>
      </c>
      <c r="F11" s="2" t="s">
        <v>189</v>
      </c>
      <c r="G11" s="11" t="s">
        <v>189</v>
      </c>
      <c r="H11" s="2">
        <v>0.71299999999999997</v>
      </c>
      <c r="I11" s="15" t="s">
        <v>297</v>
      </c>
      <c r="J11" s="2">
        <f t="shared" si="0"/>
        <v>1.4259999999999999</v>
      </c>
    </row>
    <row r="12" spans="2:10" x14ac:dyDescent="0.45">
      <c r="B12" s="9" t="s">
        <v>21</v>
      </c>
      <c r="C12" s="2">
        <v>1</v>
      </c>
      <c r="D12" s="2" t="s">
        <v>22</v>
      </c>
      <c r="E12" s="2" t="s">
        <v>200</v>
      </c>
      <c r="F12" s="2" t="s">
        <v>189</v>
      </c>
      <c r="G12" s="11" t="s">
        <v>189</v>
      </c>
      <c r="H12" s="2">
        <v>0.28499999999999998</v>
      </c>
      <c r="I12" s="15" t="s">
        <v>297</v>
      </c>
      <c r="J12" s="2">
        <f t="shared" si="0"/>
        <v>0.28499999999999998</v>
      </c>
    </row>
    <row r="13" spans="2:10" x14ac:dyDescent="0.45">
      <c r="B13" s="9" t="s">
        <v>23</v>
      </c>
      <c r="C13" s="2">
        <v>2</v>
      </c>
      <c r="D13" s="2" t="s">
        <v>20</v>
      </c>
      <c r="E13" s="2" t="s">
        <v>199</v>
      </c>
      <c r="F13" s="2" t="s">
        <v>189</v>
      </c>
      <c r="G13" s="11" t="s">
        <v>189</v>
      </c>
      <c r="H13" s="2">
        <v>0.36099999999999999</v>
      </c>
      <c r="I13" s="15" t="s">
        <v>297</v>
      </c>
      <c r="J13" s="2">
        <f t="shared" si="0"/>
        <v>0.72199999999999998</v>
      </c>
    </row>
    <row r="14" spans="2:10" x14ac:dyDescent="0.45">
      <c r="B14" s="9" t="s">
        <v>202</v>
      </c>
      <c r="C14" s="2">
        <v>2</v>
      </c>
      <c r="D14" s="2" t="s">
        <v>24</v>
      </c>
      <c r="E14" s="2" t="s">
        <v>201</v>
      </c>
      <c r="F14" s="2" t="s">
        <v>189</v>
      </c>
      <c r="G14" s="11" t="s">
        <v>189</v>
      </c>
      <c r="H14" s="2">
        <v>0.248</v>
      </c>
      <c r="I14" s="15" t="s">
        <v>297</v>
      </c>
      <c r="J14" s="2">
        <f t="shared" si="0"/>
        <v>0.496</v>
      </c>
    </row>
    <row r="15" spans="2:10" x14ac:dyDescent="0.45">
      <c r="B15" s="9" t="s">
        <v>25</v>
      </c>
      <c r="C15" s="2">
        <v>1</v>
      </c>
      <c r="D15" s="2" t="s">
        <v>26</v>
      </c>
      <c r="E15" s="2" t="s">
        <v>204</v>
      </c>
      <c r="F15" s="2" t="s">
        <v>189</v>
      </c>
      <c r="G15" s="11" t="s">
        <v>189</v>
      </c>
      <c r="H15" s="2">
        <v>0.66800000000000004</v>
      </c>
      <c r="I15" s="15" t="s">
        <v>297</v>
      </c>
      <c r="J15" s="2">
        <f t="shared" si="0"/>
        <v>0.66800000000000004</v>
      </c>
    </row>
    <row r="16" spans="2:10" x14ac:dyDescent="0.45">
      <c r="B16" s="9" t="s">
        <v>212</v>
      </c>
      <c r="C16" s="2">
        <v>5</v>
      </c>
      <c r="D16" s="2" t="s">
        <v>22</v>
      </c>
      <c r="E16" s="2" t="s">
        <v>205</v>
      </c>
      <c r="F16" s="2" t="s">
        <v>189</v>
      </c>
      <c r="G16" s="11" t="s">
        <v>189</v>
      </c>
      <c r="H16" s="2">
        <v>0.24</v>
      </c>
      <c r="I16" s="15" t="s">
        <v>297</v>
      </c>
      <c r="J16" s="2">
        <f t="shared" si="0"/>
        <v>1.2</v>
      </c>
    </row>
    <row r="17" spans="2:10" ht="28.5" x14ac:dyDescent="0.45">
      <c r="B17" s="9" t="s">
        <v>27</v>
      </c>
      <c r="C17" s="2">
        <v>13</v>
      </c>
      <c r="D17" s="2" t="s">
        <v>14</v>
      </c>
      <c r="E17" s="2" t="s">
        <v>206</v>
      </c>
      <c r="F17" s="2" t="s">
        <v>189</v>
      </c>
      <c r="G17" s="11" t="s">
        <v>189</v>
      </c>
      <c r="H17" s="2">
        <v>9.4E-2</v>
      </c>
      <c r="I17" s="15" t="s">
        <v>297</v>
      </c>
      <c r="J17" s="2">
        <f t="shared" si="0"/>
        <v>1.222</v>
      </c>
    </row>
    <row r="18" spans="2:10" x14ac:dyDescent="0.45">
      <c r="B18" s="9" t="s">
        <v>211</v>
      </c>
      <c r="C18" s="2">
        <v>2</v>
      </c>
      <c r="D18" s="2" t="s">
        <v>28</v>
      </c>
      <c r="E18" s="2" t="s">
        <v>207</v>
      </c>
      <c r="F18" s="2" t="s">
        <v>189</v>
      </c>
      <c r="G18" s="11" t="s">
        <v>189</v>
      </c>
      <c r="H18" s="2">
        <v>0.12</v>
      </c>
      <c r="I18" s="15" t="s">
        <v>297</v>
      </c>
      <c r="J18" s="2">
        <f t="shared" si="0"/>
        <v>0.24</v>
      </c>
    </row>
    <row r="19" spans="2:10" ht="28.5" x14ac:dyDescent="0.45">
      <c r="B19" s="9" t="s">
        <v>29</v>
      </c>
      <c r="C19" s="2">
        <v>10</v>
      </c>
      <c r="D19" s="2" t="s">
        <v>30</v>
      </c>
      <c r="E19" s="2" t="s">
        <v>208</v>
      </c>
      <c r="F19" s="2" t="s">
        <v>189</v>
      </c>
      <c r="G19" s="11" t="s">
        <v>189</v>
      </c>
      <c r="H19" s="2">
        <v>8.4000000000000005E-2</v>
      </c>
      <c r="I19" s="15" t="s">
        <v>297</v>
      </c>
      <c r="J19" s="2">
        <f t="shared" si="0"/>
        <v>0.84000000000000008</v>
      </c>
    </row>
    <row r="20" spans="2:10" x14ac:dyDescent="0.45">
      <c r="B20" s="9" t="s">
        <v>31</v>
      </c>
      <c r="C20" s="2">
        <v>2</v>
      </c>
      <c r="D20" s="2" t="s">
        <v>9</v>
      </c>
      <c r="E20" s="2" t="s">
        <v>209</v>
      </c>
      <c r="F20" s="2" t="s">
        <v>189</v>
      </c>
      <c r="G20" s="11" t="s">
        <v>189</v>
      </c>
      <c r="H20" s="2">
        <v>0.36799999999999999</v>
      </c>
      <c r="I20" s="15" t="s">
        <v>297</v>
      </c>
      <c r="J20" s="2">
        <f t="shared" si="0"/>
        <v>0.73599999999999999</v>
      </c>
    </row>
    <row r="21" spans="2:10" x14ac:dyDescent="0.45">
      <c r="B21" s="9" t="s">
        <v>32</v>
      </c>
      <c r="C21" s="2">
        <v>1</v>
      </c>
      <c r="D21" s="2" t="s">
        <v>33</v>
      </c>
      <c r="E21" s="2" t="s">
        <v>210</v>
      </c>
      <c r="F21" s="2" t="s">
        <v>189</v>
      </c>
      <c r="G21" s="11" t="s">
        <v>189</v>
      </c>
      <c r="H21" s="2">
        <v>2.71</v>
      </c>
      <c r="I21" s="15" t="s">
        <v>297</v>
      </c>
      <c r="J21" s="2">
        <f t="shared" si="0"/>
        <v>2.71</v>
      </c>
    </row>
    <row r="22" spans="2:10" ht="28.5" x14ac:dyDescent="0.45">
      <c r="B22" s="9" t="s">
        <v>34</v>
      </c>
      <c r="C22" s="2">
        <v>8</v>
      </c>
      <c r="D22" s="2" t="s">
        <v>13</v>
      </c>
      <c r="E22" s="2" t="s">
        <v>213</v>
      </c>
      <c r="F22" s="2" t="s">
        <v>189</v>
      </c>
      <c r="G22" s="11" t="s">
        <v>189</v>
      </c>
      <c r="H22" s="2">
        <v>0.48</v>
      </c>
      <c r="I22" s="15" t="s">
        <v>297</v>
      </c>
      <c r="J22" s="2">
        <f t="shared" si="0"/>
        <v>3.84</v>
      </c>
    </row>
    <row r="23" spans="2:10" x14ac:dyDescent="0.45">
      <c r="B23" s="9" t="s">
        <v>35</v>
      </c>
      <c r="C23" s="2">
        <v>4</v>
      </c>
      <c r="D23" s="2" t="s">
        <v>36</v>
      </c>
      <c r="E23" s="2" t="s">
        <v>215</v>
      </c>
      <c r="F23" s="2" t="s">
        <v>189</v>
      </c>
      <c r="G23" s="11" t="s">
        <v>189</v>
      </c>
      <c r="H23" s="2">
        <v>0.27800000000000002</v>
      </c>
      <c r="I23" s="15" t="s">
        <v>297</v>
      </c>
      <c r="J23" s="2">
        <f t="shared" si="0"/>
        <v>1.1120000000000001</v>
      </c>
    </row>
    <row r="24" spans="2:10" x14ac:dyDescent="0.45">
      <c r="B24" s="9" t="s">
        <v>37</v>
      </c>
      <c r="C24" s="2">
        <v>3</v>
      </c>
      <c r="D24" s="2" t="s">
        <v>38</v>
      </c>
      <c r="E24" s="2"/>
      <c r="F24" s="2"/>
      <c r="G24" s="2"/>
      <c r="H24" s="2"/>
      <c r="I24" s="15" t="s">
        <v>297</v>
      </c>
      <c r="J24" s="2">
        <f t="shared" si="0"/>
        <v>0</v>
      </c>
    </row>
    <row r="25" spans="2:10" x14ac:dyDescent="0.45">
      <c r="B25" s="9" t="s">
        <v>39</v>
      </c>
      <c r="C25" s="2">
        <v>1</v>
      </c>
      <c r="D25" s="2" t="s">
        <v>40</v>
      </c>
      <c r="E25" s="2" t="s">
        <v>215</v>
      </c>
      <c r="F25" s="2" t="s">
        <v>189</v>
      </c>
      <c r="G25" s="11" t="s">
        <v>189</v>
      </c>
      <c r="H25" s="2">
        <v>0.27800000000000002</v>
      </c>
      <c r="I25" s="15" t="s">
        <v>297</v>
      </c>
      <c r="J25" s="2">
        <f t="shared" si="0"/>
        <v>0.27800000000000002</v>
      </c>
    </row>
    <row r="26" spans="2:10" x14ac:dyDescent="0.45">
      <c r="B26" s="9" t="s">
        <v>41</v>
      </c>
      <c r="C26" s="2">
        <v>2</v>
      </c>
      <c r="D26" s="2" t="s">
        <v>42</v>
      </c>
      <c r="E26" s="2" t="s">
        <v>217</v>
      </c>
      <c r="F26" s="2" t="s">
        <v>189</v>
      </c>
      <c r="G26" s="11" t="s">
        <v>189</v>
      </c>
      <c r="H26" s="2">
        <v>0.255</v>
      </c>
      <c r="I26" s="15" t="s">
        <v>297</v>
      </c>
      <c r="J26" s="2">
        <f t="shared" si="0"/>
        <v>0.51</v>
      </c>
    </row>
    <row r="27" spans="2:10" x14ac:dyDescent="0.45">
      <c r="B27" s="9" t="s">
        <v>43</v>
      </c>
      <c r="C27" s="2">
        <v>2</v>
      </c>
      <c r="D27" s="2" t="s">
        <v>44</v>
      </c>
      <c r="E27" s="2" t="s">
        <v>218</v>
      </c>
      <c r="F27" s="2" t="s">
        <v>189</v>
      </c>
      <c r="G27" s="11" t="s">
        <v>189</v>
      </c>
      <c r="H27" s="2">
        <v>0.33800000000000002</v>
      </c>
      <c r="I27" s="15" t="s">
        <v>297</v>
      </c>
      <c r="J27" s="2">
        <f t="shared" si="0"/>
        <v>0.67600000000000005</v>
      </c>
    </row>
    <row r="28" spans="2:10" x14ac:dyDescent="0.45">
      <c r="B28" s="9" t="s">
        <v>219</v>
      </c>
      <c r="C28" s="2">
        <v>3</v>
      </c>
      <c r="D28" s="2" t="s">
        <v>45</v>
      </c>
      <c r="E28" s="2" t="s">
        <v>45</v>
      </c>
      <c r="F28" s="2" t="s">
        <v>189</v>
      </c>
      <c r="G28" s="11" t="s">
        <v>189</v>
      </c>
      <c r="H28" s="2">
        <v>0.22500000000000001</v>
      </c>
      <c r="I28" s="15" t="s">
        <v>297</v>
      </c>
      <c r="J28" s="2">
        <f t="shared" si="0"/>
        <v>0.67500000000000004</v>
      </c>
    </row>
    <row r="29" spans="2:10" x14ac:dyDescent="0.45">
      <c r="B29" s="9" t="s">
        <v>46</v>
      </c>
      <c r="C29" s="2">
        <v>2</v>
      </c>
      <c r="D29" s="2" t="s">
        <v>47</v>
      </c>
      <c r="E29" s="2" t="s">
        <v>47</v>
      </c>
      <c r="F29" s="2" t="s">
        <v>189</v>
      </c>
      <c r="G29" s="11" t="s">
        <v>189</v>
      </c>
      <c r="H29" s="2">
        <v>0.16500000000000001</v>
      </c>
      <c r="I29" s="15" t="s">
        <v>297</v>
      </c>
      <c r="J29" s="2">
        <f t="shared" si="0"/>
        <v>0.33</v>
      </c>
    </row>
    <row r="30" spans="2:10" x14ac:dyDescent="0.45">
      <c r="B30" s="9" t="s">
        <v>48</v>
      </c>
      <c r="C30" s="2">
        <v>3</v>
      </c>
      <c r="D30" s="2" t="s">
        <v>49</v>
      </c>
      <c r="E30" s="2" t="s">
        <v>220</v>
      </c>
      <c r="F30" s="2" t="s">
        <v>189</v>
      </c>
      <c r="G30" s="11" t="s">
        <v>189</v>
      </c>
      <c r="H30" s="2">
        <v>0.36099999999999999</v>
      </c>
      <c r="I30" s="15" t="s">
        <v>297</v>
      </c>
      <c r="J30" s="2">
        <f t="shared" si="0"/>
        <v>1.083</v>
      </c>
    </row>
    <row r="31" spans="2:10" ht="28.5" x14ac:dyDescent="0.45">
      <c r="B31" s="9" t="s">
        <v>50</v>
      </c>
      <c r="C31" s="2">
        <v>11</v>
      </c>
      <c r="D31" s="2" t="s">
        <v>51</v>
      </c>
      <c r="E31" s="2" t="s">
        <v>221</v>
      </c>
      <c r="F31" s="2" t="s">
        <v>189</v>
      </c>
      <c r="G31" s="11" t="s">
        <v>189</v>
      </c>
      <c r="H31" s="2">
        <v>0.127</v>
      </c>
      <c r="I31" s="15" t="s">
        <v>297</v>
      </c>
      <c r="J31" s="2">
        <f t="shared" si="0"/>
        <v>1.397</v>
      </c>
    </row>
    <row r="32" spans="2:10" x14ac:dyDescent="0.45">
      <c r="B32" s="9" t="s">
        <v>52</v>
      </c>
      <c r="C32" s="2">
        <v>1</v>
      </c>
      <c r="D32" s="2" t="s">
        <v>53</v>
      </c>
      <c r="E32" s="2" t="s">
        <v>222</v>
      </c>
      <c r="F32" s="2" t="s">
        <v>189</v>
      </c>
      <c r="G32" s="11" t="s">
        <v>189</v>
      </c>
      <c r="H32" s="2">
        <v>0.41299999999999998</v>
      </c>
      <c r="I32" s="15" t="s">
        <v>297</v>
      </c>
      <c r="J32" s="2">
        <f t="shared" si="0"/>
        <v>0.41299999999999998</v>
      </c>
    </row>
    <row r="33" spans="2:10" x14ac:dyDescent="0.45">
      <c r="B33" s="9" t="s">
        <v>54</v>
      </c>
      <c r="C33" s="2">
        <v>1</v>
      </c>
      <c r="D33" s="2" t="s">
        <v>55</v>
      </c>
      <c r="E33" s="2" t="s">
        <v>55</v>
      </c>
      <c r="F33" s="2" t="s">
        <v>189</v>
      </c>
      <c r="G33" s="11" t="s">
        <v>189</v>
      </c>
      <c r="H33" s="2">
        <v>0.27100000000000002</v>
      </c>
      <c r="I33" s="15" t="s">
        <v>297</v>
      </c>
      <c r="J33" s="2">
        <f t="shared" si="0"/>
        <v>0.27100000000000002</v>
      </c>
    </row>
    <row r="34" spans="2:10" x14ac:dyDescent="0.45">
      <c r="B34" s="9" t="s">
        <v>56</v>
      </c>
      <c r="C34" s="2">
        <v>1</v>
      </c>
      <c r="D34" s="2" t="s">
        <v>57</v>
      </c>
      <c r="E34" s="2" t="s">
        <v>57</v>
      </c>
      <c r="F34" s="2" t="s">
        <v>189</v>
      </c>
      <c r="G34" s="11" t="s">
        <v>189</v>
      </c>
      <c r="H34" s="2">
        <v>0.13500000000000001</v>
      </c>
      <c r="I34" s="15" t="s">
        <v>297</v>
      </c>
      <c r="J34" s="2">
        <f t="shared" si="0"/>
        <v>0.13500000000000001</v>
      </c>
    </row>
    <row r="35" spans="2:10" x14ac:dyDescent="0.45">
      <c r="B35" s="9" t="s">
        <v>58</v>
      </c>
      <c r="C35" s="2">
        <v>5</v>
      </c>
      <c r="D35" s="2" t="s">
        <v>59</v>
      </c>
      <c r="E35" s="2" t="s">
        <v>59</v>
      </c>
      <c r="F35" s="2" t="s">
        <v>189</v>
      </c>
      <c r="G35" s="11" t="s">
        <v>189</v>
      </c>
      <c r="H35" s="2">
        <v>7.4999999999999997E-2</v>
      </c>
      <c r="I35" s="15" t="s">
        <v>297</v>
      </c>
      <c r="J35" s="2">
        <f t="shared" si="0"/>
        <v>0.375</v>
      </c>
    </row>
    <row r="36" spans="2:10" x14ac:dyDescent="0.45">
      <c r="B36" s="9" t="s">
        <v>60</v>
      </c>
      <c r="C36" s="2">
        <v>1</v>
      </c>
      <c r="D36" s="2" t="s">
        <v>225</v>
      </c>
      <c r="E36" s="2" t="s">
        <v>225</v>
      </c>
      <c r="F36" s="2" t="s">
        <v>189</v>
      </c>
      <c r="G36" s="11" t="s">
        <v>189</v>
      </c>
      <c r="H36" s="2">
        <v>0.17299999999999999</v>
      </c>
      <c r="I36" s="15" t="s">
        <v>297</v>
      </c>
      <c r="J36" s="2">
        <f t="shared" si="0"/>
        <v>0.17299999999999999</v>
      </c>
    </row>
    <row r="37" spans="2:10" x14ac:dyDescent="0.45">
      <c r="B37" s="9" t="s">
        <v>61</v>
      </c>
      <c r="C37" s="2">
        <v>1</v>
      </c>
      <c r="D37" s="2" t="s">
        <v>62</v>
      </c>
      <c r="E37" s="2" t="s">
        <v>62</v>
      </c>
      <c r="F37" s="2" t="s">
        <v>189</v>
      </c>
      <c r="G37" s="11" t="s">
        <v>189</v>
      </c>
      <c r="H37" s="2">
        <v>0.6</v>
      </c>
      <c r="I37" s="15" t="s">
        <v>297</v>
      </c>
      <c r="J37" s="2">
        <f t="shared" si="0"/>
        <v>0.6</v>
      </c>
    </row>
    <row r="38" spans="2:10" x14ac:dyDescent="0.45">
      <c r="B38" s="9" t="s">
        <v>224</v>
      </c>
      <c r="C38" s="2">
        <v>2</v>
      </c>
      <c r="D38" s="2" t="s">
        <v>223</v>
      </c>
      <c r="E38" s="2" t="s">
        <v>223</v>
      </c>
      <c r="F38" s="2" t="s">
        <v>189</v>
      </c>
      <c r="G38" s="11" t="s">
        <v>189</v>
      </c>
      <c r="H38" s="2">
        <v>0.54</v>
      </c>
      <c r="I38" s="15" t="s">
        <v>297</v>
      </c>
      <c r="J38" s="2">
        <f t="shared" si="0"/>
        <v>1.08</v>
      </c>
    </row>
    <row r="39" spans="2:10" x14ac:dyDescent="0.45">
      <c r="B39" s="9" t="s">
        <v>226</v>
      </c>
      <c r="C39" s="2">
        <v>1</v>
      </c>
      <c r="D39" s="2" t="s">
        <v>63</v>
      </c>
      <c r="E39" s="2" t="s">
        <v>229</v>
      </c>
      <c r="F39" s="2" t="s">
        <v>189</v>
      </c>
      <c r="G39" s="11" t="s">
        <v>189</v>
      </c>
      <c r="H39" s="2">
        <v>8.3000000000000004E-2</v>
      </c>
      <c r="I39" s="15" t="s">
        <v>297</v>
      </c>
      <c r="J39" s="2">
        <f t="shared" si="0"/>
        <v>8.3000000000000004E-2</v>
      </c>
    </row>
    <row r="40" spans="2:10" x14ac:dyDescent="0.45">
      <c r="B40" s="9" t="s">
        <v>227</v>
      </c>
      <c r="C40" s="2">
        <v>1</v>
      </c>
      <c r="D40" s="2" t="s">
        <v>63</v>
      </c>
      <c r="E40" s="2" t="s">
        <v>38</v>
      </c>
      <c r="F40" s="2"/>
      <c r="G40" s="2"/>
      <c r="H40" s="2">
        <v>0</v>
      </c>
      <c r="I40" s="15" t="s">
        <v>297</v>
      </c>
      <c r="J40" s="2">
        <f t="shared" si="0"/>
        <v>0</v>
      </c>
    </row>
    <row r="41" spans="2:10" x14ac:dyDescent="0.45">
      <c r="B41" s="9" t="s">
        <v>64</v>
      </c>
      <c r="C41" s="2">
        <v>1</v>
      </c>
      <c r="D41" s="2" t="s">
        <v>63</v>
      </c>
      <c r="E41" s="2" t="s">
        <v>228</v>
      </c>
      <c r="F41" s="2" t="s">
        <v>189</v>
      </c>
      <c r="G41" s="11" t="s">
        <v>189</v>
      </c>
      <c r="H41" s="2">
        <v>7.4999999999999997E-2</v>
      </c>
      <c r="I41" s="15" t="s">
        <v>297</v>
      </c>
      <c r="J41" s="2">
        <f t="shared" si="0"/>
        <v>7.4999999999999997E-2</v>
      </c>
    </row>
    <row r="42" spans="2:10" x14ac:dyDescent="0.45">
      <c r="B42" s="9" t="s">
        <v>65</v>
      </c>
      <c r="C42" s="2">
        <v>3</v>
      </c>
      <c r="D42" s="2" t="s">
        <v>66</v>
      </c>
      <c r="E42" s="2" t="s">
        <v>230</v>
      </c>
      <c r="F42" s="2" t="s">
        <v>189</v>
      </c>
      <c r="G42" s="11" t="s">
        <v>189</v>
      </c>
      <c r="H42" s="2">
        <v>0.36099999999999999</v>
      </c>
      <c r="I42" s="15" t="s">
        <v>297</v>
      </c>
      <c r="J42" s="2">
        <f t="shared" si="0"/>
        <v>1.083</v>
      </c>
    </row>
    <row r="43" spans="2:10" x14ac:dyDescent="0.45">
      <c r="B43" s="9" t="s">
        <v>67</v>
      </c>
      <c r="C43" s="2">
        <v>1</v>
      </c>
      <c r="D43" s="2" t="s">
        <v>231</v>
      </c>
      <c r="E43" s="2" t="s">
        <v>68</v>
      </c>
      <c r="F43" s="2" t="s">
        <v>189</v>
      </c>
      <c r="G43" s="11" t="s">
        <v>189</v>
      </c>
      <c r="H43" s="2">
        <v>1.86</v>
      </c>
      <c r="I43" s="15" t="s">
        <v>297</v>
      </c>
      <c r="J43" s="2">
        <f t="shared" si="0"/>
        <v>1.86</v>
      </c>
    </row>
    <row r="44" spans="2:10" x14ac:dyDescent="0.45">
      <c r="B44" s="9" t="s">
        <v>69</v>
      </c>
      <c r="C44" s="2">
        <v>1</v>
      </c>
      <c r="D44" s="2" t="s">
        <v>232</v>
      </c>
      <c r="E44" s="2" t="s">
        <v>233</v>
      </c>
      <c r="F44" s="2" t="s">
        <v>189</v>
      </c>
      <c r="G44" s="11" t="s">
        <v>189</v>
      </c>
      <c r="H44" s="2">
        <v>0.35299999999999998</v>
      </c>
      <c r="I44" s="15" t="s">
        <v>297</v>
      </c>
      <c r="J44" s="2">
        <f t="shared" si="0"/>
        <v>0.35299999999999998</v>
      </c>
    </row>
    <row r="45" spans="2:10" x14ac:dyDescent="0.45">
      <c r="B45" s="9" t="s">
        <v>70</v>
      </c>
      <c r="C45" s="2">
        <v>1</v>
      </c>
      <c r="D45" s="2" t="s">
        <v>71</v>
      </c>
      <c r="E45" s="2" t="s">
        <v>71</v>
      </c>
      <c r="F45" s="2" t="s">
        <v>189</v>
      </c>
      <c r="G45" s="11" t="s">
        <v>189</v>
      </c>
      <c r="H45" s="2">
        <v>1.98</v>
      </c>
      <c r="I45" s="15" t="s">
        <v>297</v>
      </c>
      <c r="J45" s="2">
        <f t="shared" si="0"/>
        <v>1.98</v>
      </c>
    </row>
    <row r="46" spans="2:10" x14ac:dyDescent="0.45">
      <c r="B46" s="9" t="s">
        <v>234</v>
      </c>
      <c r="C46" s="2">
        <v>1</v>
      </c>
      <c r="D46" s="2" t="s">
        <v>235</v>
      </c>
      <c r="E46" s="2" t="s">
        <v>235</v>
      </c>
      <c r="F46" s="2" t="s">
        <v>189</v>
      </c>
      <c r="G46" s="11" t="s">
        <v>189</v>
      </c>
      <c r="H46" s="2">
        <v>1.9</v>
      </c>
      <c r="I46" s="15" t="s">
        <v>297</v>
      </c>
      <c r="J46" s="2">
        <f t="shared" si="0"/>
        <v>1.9</v>
      </c>
    </row>
    <row r="47" spans="2:10" x14ac:dyDescent="0.45">
      <c r="B47" s="9" t="s">
        <v>72</v>
      </c>
      <c r="C47" s="2">
        <v>1</v>
      </c>
      <c r="D47" s="2" t="s">
        <v>237</v>
      </c>
      <c r="E47" s="2" t="s">
        <v>236</v>
      </c>
      <c r="F47" s="2" t="s">
        <v>189</v>
      </c>
      <c r="G47" s="11" t="s">
        <v>189</v>
      </c>
      <c r="H47" s="2">
        <v>2.4300000000000002</v>
      </c>
      <c r="I47" s="15" t="s">
        <v>297</v>
      </c>
      <c r="J47" s="2">
        <f t="shared" si="0"/>
        <v>2.4300000000000002</v>
      </c>
    </row>
    <row r="48" spans="2:10" x14ac:dyDescent="0.45">
      <c r="B48" s="9" t="s">
        <v>73</v>
      </c>
      <c r="C48" s="2">
        <v>1</v>
      </c>
      <c r="D48" s="2" t="s">
        <v>74</v>
      </c>
      <c r="E48" s="2" t="s">
        <v>238</v>
      </c>
      <c r="F48" s="2" t="s">
        <v>189</v>
      </c>
      <c r="G48" s="11" t="s">
        <v>189</v>
      </c>
      <c r="H48" s="2">
        <v>1.9</v>
      </c>
      <c r="I48" s="15" t="s">
        <v>297</v>
      </c>
      <c r="J48" s="2">
        <f t="shared" si="0"/>
        <v>1.9</v>
      </c>
    </row>
    <row r="49" spans="2:10" x14ac:dyDescent="0.45">
      <c r="B49" s="9" t="s">
        <v>75</v>
      </c>
      <c r="C49" s="2">
        <v>4</v>
      </c>
      <c r="D49" s="2" t="s">
        <v>9</v>
      </c>
      <c r="E49" s="2" t="s">
        <v>239</v>
      </c>
      <c r="F49" s="2" t="s">
        <v>189</v>
      </c>
      <c r="G49" s="11" t="s">
        <v>189</v>
      </c>
      <c r="H49" s="2">
        <v>0.89</v>
      </c>
      <c r="I49" s="15" t="s">
        <v>298</v>
      </c>
      <c r="J49" s="2">
        <f t="shared" si="0"/>
        <v>0</v>
      </c>
    </row>
    <row r="50" spans="2:10" x14ac:dyDescent="0.45">
      <c r="B50" s="9" t="s">
        <v>76</v>
      </c>
      <c r="C50" s="2">
        <v>1</v>
      </c>
      <c r="D50" s="2" t="s">
        <v>9</v>
      </c>
      <c r="E50" s="2" t="s">
        <v>240</v>
      </c>
      <c r="F50" s="2" t="s">
        <v>189</v>
      </c>
      <c r="G50" s="11" t="s">
        <v>189</v>
      </c>
      <c r="H50" s="2">
        <v>0.21</v>
      </c>
      <c r="I50" s="15" t="s">
        <v>297</v>
      </c>
      <c r="J50" s="2">
        <f t="shared" si="0"/>
        <v>0.21</v>
      </c>
    </row>
    <row r="51" spans="2:10" ht="42.75" x14ac:dyDescent="0.45">
      <c r="B51" s="9" t="s">
        <v>77</v>
      </c>
      <c r="C51" s="2">
        <v>15</v>
      </c>
      <c r="D51" s="2" t="s">
        <v>78</v>
      </c>
      <c r="E51" s="2" t="s">
        <v>241</v>
      </c>
      <c r="F51" s="2" t="s">
        <v>189</v>
      </c>
      <c r="G51" s="11" t="s">
        <v>189</v>
      </c>
      <c r="H51" s="2">
        <v>0.249</v>
      </c>
      <c r="I51" s="15" t="s">
        <v>297</v>
      </c>
      <c r="J51" s="2">
        <f t="shared" si="0"/>
        <v>3.7349999999999999</v>
      </c>
    </row>
    <row r="52" spans="2:10" x14ac:dyDescent="0.45">
      <c r="B52" s="9" t="s">
        <v>79</v>
      </c>
      <c r="C52" s="2">
        <v>3</v>
      </c>
      <c r="D52" s="2" t="s">
        <v>242</v>
      </c>
      <c r="E52" s="2" t="s">
        <v>80</v>
      </c>
      <c r="F52" s="2" t="s">
        <v>189</v>
      </c>
      <c r="G52" s="11" t="s">
        <v>189</v>
      </c>
      <c r="H52" s="2">
        <v>1.43</v>
      </c>
      <c r="I52" s="15" t="s">
        <v>297</v>
      </c>
      <c r="J52" s="2">
        <f t="shared" si="0"/>
        <v>4.29</v>
      </c>
    </row>
    <row r="53" spans="2:10" ht="28.5" x14ac:dyDescent="0.45">
      <c r="B53" s="9" t="s">
        <v>247</v>
      </c>
      <c r="C53" s="2">
        <v>10</v>
      </c>
      <c r="D53" s="2" t="s">
        <v>81</v>
      </c>
      <c r="E53" s="2" t="s">
        <v>243</v>
      </c>
      <c r="F53" s="2" t="s">
        <v>189</v>
      </c>
      <c r="G53" s="11" t="s">
        <v>189</v>
      </c>
      <c r="H53" s="2">
        <v>1.4999999999999999E-2</v>
      </c>
      <c r="I53" s="15" t="s">
        <v>297</v>
      </c>
      <c r="J53" s="2">
        <f t="shared" si="0"/>
        <v>0.15</v>
      </c>
    </row>
    <row r="54" spans="2:10" ht="99.75" x14ac:dyDescent="0.45">
      <c r="B54" s="9" t="s">
        <v>265</v>
      </c>
      <c r="C54" s="2">
        <v>51</v>
      </c>
      <c r="D54" s="2" t="s">
        <v>82</v>
      </c>
      <c r="E54" s="2" t="s">
        <v>266</v>
      </c>
      <c r="F54" s="2" t="s">
        <v>189</v>
      </c>
      <c r="G54" s="11" t="s">
        <v>189</v>
      </c>
      <c r="H54" s="2">
        <v>5.0000000000000001E-3</v>
      </c>
      <c r="I54" s="15" t="s">
        <v>297</v>
      </c>
      <c r="J54" s="2">
        <f t="shared" si="0"/>
        <v>0.255</v>
      </c>
    </row>
    <row r="55" spans="2:10" x14ac:dyDescent="0.45">
      <c r="B55" s="9" t="s">
        <v>83</v>
      </c>
      <c r="C55" s="2">
        <v>2</v>
      </c>
      <c r="D55" s="2" t="s">
        <v>84</v>
      </c>
      <c r="E55" s="2" t="s">
        <v>244</v>
      </c>
      <c r="F55" s="2" t="s">
        <v>189</v>
      </c>
      <c r="G55" s="11" t="s">
        <v>189</v>
      </c>
      <c r="H55" s="2">
        <v>7.4999999999999997E-2</v>
      </c>
      <c r="I55" s="15" t="s">
        <v>297</v>
      </c>
      <c r="J55" s="2">
        <f t="shared" si="0"/>
        <v>0.15</v>
      </c>
    </row>
    <row r="56" spans="2:10" x14ac:dyDescent="0.45">
      <c r="B56" s="9" t="s">
        <v>85</v>
      </c>
      <c r="C56" s="2">
        <v>2</v>
      </c>
      <c r="D56" s="2" t="s">
        <v>82</v>
      </c>
      <c r="E56" s="2" t="s">
        <v>245</v>
      </c>
      <c r="F56" s="2" t="s">
        <v>189</v>
      </c>
      <c r="G56" s="11" t="s">
        <v>189</v>
      </c>
      <c r="H56" s="2">
        <v>0.09</v>
      </c>
      <c r="I56" s="15" t="s">
        <v>297</v>
      </c>
      <c r="J56" s="2">
        <f t="shared" si="0"/>
        <v>0.18</v>
      </c>
    </row>
    <row r="57" spans="2:10" x14ac:dyDescent="0.45">
      <c r="B57" s="9" t="s">
        <v>86</v>
      </c>
      <c r="C57" s="2">
        <v>10</v>
      </c>
      <c r="D57" s="2" t="s">
        <v>87</v>
      </c>
      <c r="E57" s="2" t="s">
        <v>246</v>
      </c>
      <c r="F57" s="2" t="s">
        <v>189</v>
      </c>
      <c r="G57" s="11" t="s">
        <v>189</v>
      </c>
      <c r="H57" s="2">
        <v>1.9E-2</v>
      </c>
      <c r="I57" s="15" t="s">
        <v>297</v>
      </c>
      <c r="J57" s="2">
        <f t="shared" si="0"/>
        <v>0.19</v>
      </c>
    </row>
    <row r="58" spans="2:10" x14ac:dyDescent="0.45">
      <c r="B58" s="9" t="s">
        <v>88</v>
      </c>
      <c r="C58" s="2">
        <v>1</v>
      </c>
      <c r="D58" s="2" t="s">
        <v>89</v>
      </c>
      <c r="E58" s="2" t="s">
        <v>248</v>
      </c>
      <c r="F58" s="2" t="s">
        <v>189</v>
      </c>
      <c r="G58" s="11" t="s">
        <v>189</v>
      </c>
      <c r="H58" s="2">
        <v>7.4999999999999997E-2</v>
      </c>
      <c r="I58" s="15" t="s">
        <v>297</v>
      </c>
      <c r="J58" s="2">
        <f t="shared" si="0"/>
        <v>7.4999999999999997E-2</v>
      </c>
    </row>
    <row r="59" spans="2:10" x14ac:dyDescent="0.45">
      <c r="B59" s="9" t="s">
        <v>90</v>
      </c>
      <c r="C59" s="2">
        <v>1</v>
      </c>
      <c r="D59" s="2" t="s">
        <v>91</v>
      </c>
      <c r="E59" s="2" t="s">
        <v>249</v>
      </c>
      <c r="F59" s="2" t="s">
        <v>189</v>
      </c>
      <c r="G59" s="11" t="s">
        <v>189</v>
      </c>
      <c r="H59" s="2">
        <v>7.4999999999999997E-2</v>
      </c>
      <c r="I59" s="15" t="s">
        <v>297</v>
      </c>
      <c r="J59" s="2">
        <f t="shared" si="0"/>
        <v>7.4999999999999997E-2</v>
      </c>
    </row>
    <row r="60" spans="2:10" x14ac:dyDescent="0.45">
      <c r="B60" s="9" t="s">
        <v>92</v>
      </c>
      <c r="C60" s="2">
        <v>2</v>
      </c>
      <c r="D60" s="2" t="s">
        <v>93</v>
      </c>
      <c r="E60" s="2" t="s">
        <v>250</v>
      </c>
      <c r="F60" s="2" t="s">
        <v>189</v>
      </c>
      <c r="G60" s="11" t="s">
        <v>189</v>
      </c>
      <c r="H60" s="2">
        <v>7.4999999999999997E-2</v>
      </c>
      <c r="I60" s="15" t="s">
        <v>297</v>
      </c>
      <c r="J60" s="2">
        <f t="shared" si="0"/>
        <v>0.15</v>
      </c>
    </row>
    <row r="61" spans="2:10" x14ac:dyDescent="0.45">
      <c r="B61" s="9" t="s">
        <v>94</v>
      </c>
      <c r="C61" s="2">
        <v>1</v>
      </c>
      <c r="D61" s="2" t="s">
        <v>95</v>
      </c>
      <c r="E61" s="2" t="s">
        <v>251</v>
      </c>
      <c r="F61" s="2" t="s">
        <v>189</v>
      </c>
      <c r="G61" s="11" t="s">
        <v>189</v>
      </c>
      <c r="H61" s="2">
        <v>7.4999999999999997E-2</v>
      </c>
      <c r="I61" s="15" t="s">
        <v>297</v>
      </c>
      <c r="J61" s="2">
        <f t="shared" si="0"/>
        <v>7.4999999999999997E-2</v>
      </c>
    </row>
    <row r="62" spans="2:10" x14ac:dyDescent="0.45">
      <c r="B62" s="9" t="s">
        <v>96</v>
      </c>
      <c r="C62" s="2">
        <v>1</v>
      </c>
      <c r="D62" s="2" t="s">
        <v>97</v>
      </c>
      <c r="E62" s="2" t="s">
        <v>252</v>
      </c>
      <c r="F62" s="2" t="s">
        <v>189</v>
      </c>
      <c r="G62" s="11" t="s">
        <v>189</v>
      </c>
      <c r="H62" s="2">
        <v>7.4999999999999997E-2</v>
      </c>
      <c r="I62" s="15" t="s">
        <v>297</v>
      </c>
      <c r="J62" s="2">
        <f t="shared" si="0"/>
        <v>7.4999999999999997E-2</v>
      </c>
    </row>
    <row r="63" spans="2:10" x14ac:dyDescent="0.45">
      <c r="B63" s="9" t="s">
        <v>98</v>
      </c>
      <c r="C63" s="2">
        <v>2</v>
      </c>
      <c r="D63" s="2" t="s">
        <v>99</v>
      </c>
      <c r="E63" s="2" t="s">
        <v>253</v>
      </c>
      <c r="F63" s="2" t="s">
        <v>189</v>
      </c>
      <c r="G63" s="11" t="s">
        <v>189</v>
      </c>
      <c r="H63" s="2">
        <v>7.4999999999999997E-2</v>
      </c>
      <c r="I63" s="15" t="s">
        <v>297</v>
      </c>
      <c r="J63" s="2">
        <f t="shared" si="0"/>
        <v>0.15</v>
      </c>
    </row>
    <row r="64" spans="2:10" x14ac:dyDescent="0.45">
      <c r="B64" s="9" t="s">
        <v>100</v>
      </c>
      <c r="C64" s="2">
        <v>1</v>
      </c>
      <c r="D64" s="2" t="s">
        <v>101</v>
      </c>
      <c r="E64" s="2" t="s">
        <v>254</v>
      </c>
      <c r="F64" s="2" t="s">
        <v>189</v>
      </c>
      <c r="G64" s="11" t="s">
        <v>189</v>
      </c>
      <c r="H64" s="2">
        <v>7.4999999999999997E-2</v>
      </c>
      <c r="I64" s="15" t="s">
        <v>297</v>
      </c>
      <c r="J64" s="2">
        <f t="shared" si="0"/>
        <v>7.4999999999999997E-2</v>
      </c>
    </row>
    <row r="65" spans="2:10" x14ac:dyDescent="0.45">
      <c r="B65" s="9" t="s">
        <v>102</v>
      </c>
      <c r="C65" s="2">
        <v>1</v>
      </c>
      <c r="D65" s="2" t="s">
        <v>103</v>
      </c>
      <c r="E65" s="2" t="s">
        <v>255</v>
      </c>
      <c r="F65" s="2" t="s">
        <v>189</v>
      </c>
      <c r="G65" s="11" t="s">
        <v>189</v>
      </c>
      <c r="H65" s="2">
        <v>7.4999999999999997E-2</v>
      </c>
      <c r="I65" s="15" t="s">
        <v>297</v>
      </c>
      <c r="J65" s="2">
        <f t="shared" si="0"/>
        <v>7.4999999999999997E-2</v>
      </c>
    </row>
    <row r="66" spans="2:10" x14ac:dyDescent="0.45">
      <c r="B66" s="9" t="s">
        <v>104</v>
      </c>
      <c r="C66" s="2">
        <v>1</v>
      </c>
      <c r="D66" s="2" t="s">
        <v>105</v>
      </c>
      <c r="E66" s="2" t="s">
        <v>256</v>
      </c>
      <c r="F66" s="2" t="s">
        <v>189</v>
      </c>
      <c r="G66" s="11" t="s">
        <v>189</v>
      </c>
      <c r="H66" s="2">
        <v>7.4999999999999997E-2</v>
      </c>
      <c r="I66" s="15" t="s">
        <v>297</v>
      </c>
      <c r="J66" s="2">
        <f t="shared" si="0"/>
        <v>7.4999999999999997E-2</v>
      </c>
    </row>
    <row r="67" spans="2:10" x14ac:dyDescent="0.45">
      <c r="B67" s="9" t="s">
        <v>106</v>
      </c>
      <c r="C67" s="2">
        <v>4</v>
      </c>
      <c r="D67" s="2" t="s">
        <v>107</v>
      </c>
      <c r="E67" s="2" t="s">
        <v>257</v>
      </c>
      <c r="F67" s="2" t="s">
        <v>189</v>
      </c>
      <c r="G67" s="11" t="s">
        <v>189</v>
      </c>
      <c r="H67" s="2">
        <v>7.4999999999999997E-2</v>
      </c>
      <c r="I67" s="15" t="s">
        <v>297</v>
      </c>
      <c r="J67" s="2">
        <f t="shared" si="0"/>
        <v>0.3</v>
      </c>
    </row>
    <row r="68" spans="2:10" x14ac:dyDescent="0.45">
      <c r="B68" s="9" t="s">
        <v>108</v>
      </c>
      <c r="C68" s="2">
        <v>2</v>
      </c>
      <c r="D68" s="2" t="s">
        <v>109</v>
      </c>
      <c r="E68" s="2" t="s">
        <v>258</v>
      </c>
      <c r="F68" s="2" t="s">
        <v>189</v>
      </c>
      <c r="G68" s="11" t="s">
        <v>189</v>
      </c>
      <c r="H68" s="2">
        <v>7.4999999999999997E-2</v>
      </c>
      <c r="I68" s="15" t="s">
        <v>297</v>
      </c>
      <c r="J68" s="2">
        <f t="shared" ref="J68:J108" si="1">IF(I68="Y",C68*H68,0)</f>
        <v>0.15</v>
      </c>
    </row>
    <row r="69" spans="2:10" x14ac:dyDescent="0.45">
      <c r="B69" s="9" t="s">
        <v>110</v>
      </c>
      <c r="C69" s="2">
        <v>4</v>
      </c>
      <c r="D69" s="2" t="s">
        <v>111</v>
      </c>
      <c r="E69" s="2" t="s">
        <v>259</v>
      </c>
      <c r="F69" s="2" t="s">
        <v>189</v>
      </c>
      <c r="G69" s="11" t="s">
        <v>189</v>
      </c>
      <c r="H69" s="2">
        <v>7.4999999999999997E-2</v>
      </c>
      <c r="I69" s="15" t="s">
        <v>297</v>
      </c>
      <c r="J69" s="2">
        <f t="shared" si="1"/>
        <v>0.3</v>
      </c>
    </row>
    <row r="70" spans="2:10" ht="57" x14ac:dyDescent="0.45">
      <c r="B70" s="9" t="s">
        <v>263</v>
      </c>
      <c r="C70" s="2">
        <v>29</v>
      </c>
      <c r="D70" s="2" t="s">
        <v>112</v>
      </c>
      <c r="E70" s="2" t="s">
        <v>260</v>
      </c>
      <c r="F70" s="2" t="s">
        <v>189</v>
      </c>
      <c r="G70" s="11" t="s">
        <v>189</v>
      </c>
      <c r="H70" s="2">
        <v>1.2999999999999999E-2</v>
      </c>
      <c r="I70" s="15" t="s">
        <v>297</v>
      </c>
      <c r="J70" s="2">
        <f t="shared" si="1"/>
        <v>0.377</v>
      </c>
    </row>
    <row r="71" spans="2:10" x14ac:dyDescent="0.45">
      <c r="B71" s="9" t="s">
        <v>113</v>
      </c>
      <c r="C71" s="2">
        <v>4</v>
      </c>
      <c r="D71" s="2" t="s">
        <v>114</v>
      </c>
      <c r="E71" s="2" t="s">
        <v>262</v>
      </c>
      <c r="F71" s="2" t="s">
        <v>189</v>
      </c>
      <c r="G71" s="11" t="s">
        <v>189</v>
      </c>
      <c r="H71" s="2">
        <v>7.4999999999999997E-2</v>
      </c>
      <c r="I71" s="15" t="s">
        <v>297</v>
      </c>
      <c r="J71" s="2">
        <f t="shared" si="1"/>
        <v>0.3</v>
      </c>
    </row>
    <row r="72" spans="2:10" ht="28.5" x14ac:dyDescent="0.45">
      <c r="B72" s="9" t="s">
        <v>115</v>
      </c>
      <c r="C72" s="2">
        <v>12</v>
      </c>
      <c r="D72" s="2" t="s">
        <v>116</v>
      </c>
      <c r="E72" s="2" t="s">
        <v>261</v>
      </c>
      <c r="F72" s="2" t="s">
        <v>189</v>
      </c>
      <c r="G72" s="11" t="s">
        <v>189</v>
      </c>
      <c r="H72" s="2">
        <v>1.0999999999999999E-2</v>
      </c>
      <c r="I72" s="15" t="s">
        <v>297</v>
      </c>
      <c r="J72" s="2">
        <f t="shared" si="1"/>
        <v>0.13200000000000001</v>
      </c>
    </row>
    <row r="73" spans="2:10" ht="28.5" x14ac:dyDescent="0.45">
      <c r="B73" s="9" t="s">
        <v>117</v>
      </c>
      <c r="C73" s="2">
        <v>8</v>
      </c>
      <c r="D73" s="2" t="s">
        <v>118</v>
      </c>
      <c r="E73" s="2" t="s">
        <v>264</v>
      </c>
      <c r="F73" s="2" t="s">
        <v>189</v>
      </c>
      <c r="G73" s="11" t="s">
        <v>189</v>
      </c>
      <c r="H73" s="2">
        <v>2.7E-2</v>
      </c>
      <c r="I73" s="15" t="s">
        <v>297</v>
      </c>
      <c r="J73" s="2">
        <f t="shared" si="1"/>
        <v>0.216</v>
      </c>
    </row>
    <row r="74" spans="2:10" ht="42.75" x14ac:dyDescent="0.45">
      <c r="B74" s="9" t="s">
        <v>268</v>
      </c>
      <c r="C74" s="2">
        <v>16</v>
      </c>
      <c r="D74" s="2" t="s">
        <v>119</v>
      </c>
      <c r="E74" s="2" t="s">
        <v>269</v>
      </c>
      <c r="F74" s="2" t="s">
        <v>189</v>
      </c>
      <c r="G74" s="11" t="s">
        <v>189</v>
      </c>
      <c r="H74" s="2">
        <v>2.8000000000000001E-2</v>
      </c>
      <c r="I74" s="15" t="s">
        <v>297</v>
      </c>
      <c r="J74" s="2">
        <f t="shared" si="1"/>
        <v>0.44800000000000001</v>
      </c>
    </row>
    <row r="75" spans="2:10" x14ac:dyDescent="0.45">
      <c r="B75" s="9" t="s">
        <v>120</v>
      </c>
      <c r="C75" s="2">
        <v>2</v>
      </c>
      <c r="D75" s="2" t="s">
        <v>121</v>
      </c>
      <c r="E75" s="2" t="s">
        <v>267</v>
      </c>
      <c r="F75" s="2" t="s">
        <v>189</v>
      </c>
      <c r="G75" s="11" t="s">
        <v>189</v>
      </c>
      <c r="H75" s="2">
        <v>7.4999999999999997E-2</v>
      </c>
      <c r="I75" s="15" t="s">
        <v>297</v>
      </c>
      <c r="J75" s="2">
        <f t="shared" si="1"/>
        <v>0.15</v>
      </c>
    </row>
    <row r="76" spans="2:10" x14ac:dyDescent="0.45">
      <c r="B76" s="9" t="s">
        <v>122</v>
      </c>
      <c r="C76" s="2">
        <v>2</v>
      </c>
      <c r="D76" s="2" t="s">
        <v>123</v>
      </c>
      <c r="E76" s="2" t="s">
        <v>270</v>
      </c>
      <c r="F76" s="2" t="s">
        <v>189</v>
      </c>
      <c r="G76" s="11" t="s">
        <v>189</v>
      </c>
      <c r="H76" s="2">
        <v>7.4999999999999997E-2</v>
      </c>
      <c r="I76" s="15" t="s">
        <v>297</v>
      </c>
      <c r="J76" s="2">
        <f t="shared" si="1"/>
        <v>0.15</v>
      </c>
    </row>
    <row r="77" spans="2:10" x14ac:dyDescent="0.45">
      <c r="B77" s="9" t="s">
        <v>124</v>
      </c>
      <c r="C77" s="2">
        <v>2</v>
      </c>
      <c r="D77" s="2" t="s">
        <v>125</v>
      </c>
      <c r="E77" s="2" t="s">
        <v>271</v>
      </c>
      <c r="F77" s="2" t="s">
        <v>189</v>
      </c>
      <c r="G77" s="11" t="s">
        <v>189</v>
      </c>
      <c r="H77" s="2">
        <v>7.4999999999999997E-2</v>
      </c>
      <c r="I77" s="15" t="s">
        <v>297</v>
      </c>
      <c r="J77" s="2">
        <f t="shared" si="1"/>
        <v>0.15</v>
      </c>
    </row>
    <row r="78" spans="2:10" x14ac:dyDescent="0.45">
      <c r="B78" s="9" t="s">
        <v>126</v>
      </c>
      <c r="C78" s="2">
        <v>1</v>
      </c>
      <c r="D78" s="2" t="s">
        <v>127</v>
      </c>
      <c r="E78" s="12" t="s">
        <v>272</v>
      </c>
      <c r="F78" s="2" t="s">
        <v>189</v>
      </c>
      <c r="G78" s="11" t="s">
        <v>189</v>
      </c>
      <c r="H78" s="2">
        <v>8.3000000000000004E-2</v>
      </c>
      <c r="I78" s="15" t="s">
        <v>297</v>
      </c>
      <c r="J78" s="2">
        <f t="shared" si="1"/>
        <v>8.3000000000000004E-2</v>
      </c>
    </row>
    <row r="79" spans="2:10" x14ac:dyDescent="0.45">
      <c r="B79" s="9" t="s">
        <v>128</v>
      </c>
      <c r="C79" s="2">
        <v>1</v>
      </c>
      <c r="D79" s="2" t="s">
        <v>129</v>
      </c>
      <c r="E79" s="2" t="s">
        <v>273</v>
      </c>
      <c r="F79" s="2" t="s">
        <v>189</v>
      </c>
      <c r="G79" s="11" t="s">
        <v>189</v>
      </c>
      <c r="H79" s="2">
        <v>7.4999999999999997E-2</v>
      </c>
      <c r="I79" s="15" t="s">
        <v>297</v>
      </c>
      <c r="J79" s="2">
        <f t="shared" si="1"/>
        <v>7.4999999999999997E-2</v>
      </c>
    </row>
    <row r="80" spans="2:10" x14ac:dyDescent="0.45">
      <c r="B80" s="9" t="s">
        <v>130</v>
      </c>
      <c r="C80" s="2">
        <v>1</v>
      </c>
      <c r="D80" s="2" t="s">
        <v>131</v>
      </c>
      <c r="E80" s="2" t="s">
        <v>274</v>
      </c>
      <c r="F80" s="2" t="s">
        <v>189</v>
      </c>
      <c r="G80" s="11" t="s">
        <v>189</v>
      </c>
      <c r="H80" s="2">
        <v>7.4999999999999997E-2</v>
      </c>
      <c r="I80" s="15" t="s">
        <v>297</v>
      </c>
      <c r="J80" s="2">
        <f t="shared" si="1"/>
        <v>7.4999999999999997E-2</v>
      </c>
    </row>
    <row r="81" spans="2:10" x14ac:dyDescent="0.45">
      <c r="B81" s="9" t="s">
        <v>132</v>
      </c>
      <c r="C81" s="2">
        <v>3</v>
      </c>
      <c r="D81" s="2" t="s">
        <v>133</v>
      </c>
      <c r="E81" s="2" t="s">
        <v>275</v>
      </c>
      <c r="F81" s="2" t="s">
        <v>189</v>
      </c>
      <c r="G81" s="11" t="s">
        <v>189</v>
      </c>
      <c r="H81" s="2">
        <v>7.4999999999999997E-2</v>
      </c>
      <c r="I81" s="15" t="s">
        <v>297</v>
      </c>
      <c r="J81" s="2">
        <f t="shared" si="1"/>
        <v>0.22499999999999998</v>
      </c>
    </row>
    <row r="82" spans="2:10" x14ac:dyDescent="0.45">
      <c r="B82" s="9" t="s">
        <v>134</v>
      </c>
      <c r="C82" s="2">
        <v>1</v>
      </c>
      <c r="D82" s="2" t="s">
        <v>135</v>
      </c>
      <c r="E82" s="2" t="s">
        <v>135</v>
      </c>
      <c r="F82" s="2" t="s">
        <v>189</v>
      </c>
      <c r="G82" s="11" t="s">
        <v>189</v>
      </c>
      <c r="H82" s="2">
        <v>1.35</v>
      </c>
      <c r="I82" s="15" t="s">
        <v>297</v>
      </c>
      <c r="J82" s="2">
        <f t="shared" si="1"/>
        <v>1.35</v>
      </c>
    </row>
    <row r="83" spans="2:10" x14ac:dyDescent="0.45">
      <c r="B83" s="9" t="s">
        <v>136</v>
      </c>
      <c r="C83" s="2">
        <v>1</v>
      </c>
      <c r="D83" s="2" t="s">
        <v>137</v>
      </c>
      <c r="E83" s="2" t="s">
        <v>276</v>
      </c>
      <c r="F83" s="2" t="s">
        <v>189</v>
      </c>
      <c r="G83" s="11" t="s">
        <v>189</v>
      </c>
      <c r="H83" s="2">
        <v>0.80100000000000005</v>
      </c>
      <c r="I83" s="15" t="s">
        <v>297</v>
      </c>
      <c r="J83" s="2">
        <f t="shared" si="1"/>
        <v>0.80100000000000005</v>
      </c>
    </row>
    <row r="84" spans="2:10" x14ac:dyDescent="0.45">
      <c r="B84" s="9" t="s">
        <v>138</v>
      </c>
      <c r="C84" s="2">
        <v>1</v>
      </c>
      <c r="D84" s="2" t="s">
        <v>139</v>
      </c>
      <c r="E84" s="2" t="s">
        <v>277</v>
      </c>
      <c r="F84" s="2" t="s">
        <v>189</v>
      </c>
      <c r="G84" s="11" t="s">
        <v>189</v>
      </c>
      <c r="H84" s="2">
        <v>0.255</v>
      </c>
      <c r="I84" s="15" t="s">
        <v>297</v>
      </c>
      <c r="J84" s="2">
        <f t="shared" si="1"/>
        <v>0.255</v>
      </c>
    </row>
    <row r="85" spans="2:10" x14ac:dyDescent="0.45">
      <c r="B85" s="9" t="s">
        <v>140</v>
      </c>
      <c r="C85" s="2">
        <v>1</v>
      </c>
      <c r="D85" s="2" t="s">
        <v>141</v>
      </c>
      <c r="E85" s="2" t="s">
        <v>141</v>
      </c>
      <c r="F85" s="2" t="s">
        <v>189</v>
      </c>
      <c r="G85" s="11" t="s">
        <v>189</v>
      </c>
      <c r="H85" s="2">
        <v>4.33</v>
      </c>
      <c r="I85" s="15" t="s">
        <v>297</v>
      </c>
      <c r="J85" s="2">
        <f t="shared" si="1"/>
        <v>4.33</v>
      </c>
    </row>
    <row r="86" spans="2:10" x14ac:dyDescent="0.45">
      <c r="B86" s="9" t="s">
        <v>142</v>
      </c>
      <c r="C86" s="2">
        <v>1</v>
      </c>
      <c r="D86" s="2" t="s">
        <v>143</v>
      </c>
      <c r="E86" s="2" t="s">
        <v>143</v>
      </c>
      <c r="F86" s="2" t="s">
        <v>189</v>
      </c>
      <c r="G86" s="11" t="s">
        <v>189</v>
      </c>
      <c r="H86" s="2">
        <v>0.45</v>
      </c>
      <c r="I86" s="15" t="s">
        <v>297</v>
      </c>
      <c r="J86" s="2">
        <f t="shared" si="1"/>
        <v>0.45</v>
      </c>
    </row>
    <row r="87" spans="2:10" x14ac:dyDescent="0.45">
      <c r="B87" s="9" t="s">
        <v>144</v>
      </c>
      <c r="C87" s="2">
        <v>1</v>
      </c>
      <c r="D87" s="2" t="s">
        <v>145</v>
      </c>
      <c r="E87" s="2" t="s">
        <v>145</v>
      </c>
      <c r="F87" s="2" t="s">
        <v>189</v>
      </c>
      <c r="G87" s="11" t="s">
        <v>189</v>
      </c>
      <c r="H87" s="2">
        <v>0.32300000000000001</v>
      </c>
      <c r="I87" s="15" t="s">
        <v>297</v>
      </c>
      <c r="J87" s="2">
        <f t="shared" si="1"/>
        <v>0.32300000000000001</v>
      </c>
    </row>
    <row r="88" spans="2:10" x14ac:dyDescent="0.45">
      <c r="B88" s="9" t="s">
        <v>146</v>
      </c>
      <c r="C88" s="2">
        <v>1</v>
      </c>
      <c r="D88" s="2" t="s">
        <v>147</v>
      </c>
      <c r="E88" s="2" t="s">
        <v>147</v>
      </c>
      <c r="F88" s="2" t="s">
        <v>189</v>
      </c>
      <c r="G88" s="11" t="s">
        <v>189</v>
      </c>
      <c r="H88" s="2">
        <v>1.89</v>
      </c>
      <c r="I88" s="15" t="s">
        <v>297</v>
      </c>
      <c r="J88" s="2">
        <f t="shared" si="1"/>
        <v>1.89</v>
      </c>
    </row>
    <row r="89" spans="2:10" x14ac:dyDescent="0.45">
      <c r="B89" s="9" t="s">
        <v>148</v>
      </c>
      <c r="C89" s="2">
        <v>1</v>
      </c>
      <c r="D89" s="2" t="s">
        <v>149</v>
      </c>
      <c r="E89" s="2" t="s">
        <v>278</v>
      </c>
      <c r="F89" s="2" t="s">
        <v>189</v>
      </c>
      <c r="G89" s="11" t="s">
        <v>189</v>
      </c>
      <c r="H89" s="2">
        <v>7.4999999999999997E-2</v>
      </c>
      <c r="I89" s="15" t="s">
        <v>297</v>
      </c>
      <c r="J89" s="2">
        <f t="shared" si="1"/>
        <v>7.4999999999999997E-2</v>
      </c>
    </row>
    <row r="90" spans="2:10" x14ac:dyDescent="0.45">
      <c r="B90" s="9" t="s">
        <v>150</v>
      </c>
      <c r="C90" s="2">
        <v>3</v>
      </c>
      <c r="D90" s="2" t="s">
        <v>151</v>
      </c>
      <c r="E90" s="2" t="s">
        <v>279</v>
      </c>
      <c r="F90" s="2" t="s">
        <v>189</v>
      </c>
      <c r="G90" s="11" t="s">
        <v>189</v>
      </c>
      <c r="H90" s="2">
        <v>0.18</v>
      </c>
      <c r="I90" s="15" t="s">
        <v>297</v>
      </c>
      <c r="J90" s="2">
        <f t="shared" si="1"/>
        <v>0.54</v>
      </c>
    </row>
    <row r="91" spans="2:10" x14ac:dyDescent="0.45">
      <c r="B91" s="9" t="s">
        <v>152</v>
      </c>
      <c r="C91" s="2">
        <v>1</v>
      </c>
      <c r="D91" s="2" t="s">
        <v>153</v>
      </c>
      <c r="E91" s="2" t="s">
        <v>153</v>
      </c>
      <c r="F91" s="2" t="s">
        <v>189</v>
      </c>
      <c r="G91" s="11" t="s">
        <v>189</v>
      </c>
      <c r="H91" s="2">
        <v>2.7</v>
      </c>
      <c r="I91" s="15" t="s">
        <v>297</v>
      </c>
      <c r="J91" s="2">
        <f t="shared" si="1"/>
        <v>2.7</v>
      </c>
    </row>
    <row r="92" spans="2:10" x14ac:dyDescent="0.45">
      <c r="B92" s="9" t="s">
        <v>154</v>
      </c>
      <c r="C92" s="2">
        <v>1</v>
      </c>
      <c r="D92" s="2" t="s">
        <v>155</v>
      </c>
      <c r="E92" s="2" t="s">
        <v>155</v>
      </c>
      <c r="F92" s="2" t="s">
        <v>189</v>
      </c>
      <c r="G92" s="11" t="s">
        <v>189</v>
      </c>
      <c r="H92" s="2">
        <v>2.97</v>
      </c>
      <c r="I92" s="15" t="s">
        <v>297</v>
      </c>
      <c r="J92" s="2">
        <f t="shared" si="1"/>
        <v>2.97</v>
      </c>
    </row>
    <row r="93" spans="2:10" x14ac:dyDescent="0.45">
      <c r="B93" s="9" t="s">
        <v>156</v>
      </c>
      <c r="C93" s="2">
        <v>4</v>
      </c>
      <c r="D93" s="2" t="s">
        <v>157</v>
      </c>
      <c r="E93" s="2" t="s">
        <v>280</v>
      </c>
      <c r="F93" s="2" t="s">
        <v>189</v>
      </c>
      <c r="G93" s="11" t="s">
        <v>189</v>
      </c>
      <c r="H93" s="2">
        <v>0.73599999999999999</v>
      </c>
      <c r="I93" s="15" t="s">
        <v>298</v>
      </c>
      <c r="J93" s="2">
        <f t="shared" si="1"/>
        <v>0</v>
      </c>
    </row>
    <row r="94" spans="2:10" x14ac:dyDescent="0.45">
      <c r="B94" s="9" t="s">
        <v>158</v>
      </c>
      <c r="C94" s="2">
        <v>1</v>
      </c>
      <c r="D94" s="2" t="s">
        <v>159</v>
      </c>
      <c r="E94" s="2" t="s">
        <v>159</v>
      </c>
      <c r="F94" s="2" t="s">
        <v>189</v>
      </c>
      <c r="G94" s="11" t="s">
        <v>189</v>
      </c>
      <c r="H94" s="2">
        <v>2.6</v>
      </c>
      <c r="I94" s="15" t="s">
        <v>297</v>
      </c>
      <c r="J94" s="2">
        <f t="shared" si="1"/>
        <v>2.6</v>
      </c>
    </row>
    <row r="95" spans="2:10" x14ac:dyDescent="0.45">
      <c r="B95" s="9" t="s">
        <v>160</v>
      </c>
      <c r="C95" s="2">
        <v>1</v>
      </c>
      <c r="D95" s="2" t="s">
        <v>161</v>
      </c>
      <c r="E95" s="2" t="s">
        <v>281</v>
      </c>
      <c r="F95" s="2" t="s">
        <v>189</v>
      </c>
      <c r="G95" s="11" t="s">
        <v>189</v>
      </c>
      <c r="H95" s="2">
        <v>2.96</v>
      </c>
      <c r="I95" s="15" t="s">
        <v>297</v>
      </c>
      <c r="J95" s="2">
        <f t="shared" si="1"/>
        <v>2.96</v>
      </c>
    </row>
    <row r="96" spans="2:10" x14ac:dyDescent="0.45">
      <c r="B96" s="9" t="s">
        <v>162</v>
      </c>
      <c r="C96" s="2">
        <v>1</v>
      </c>
      <c r="D96" s="2" t="s">
        <v>163</v>
      </c>
      <c r="E96" s="2" t="s">
        <v>282</v>
      </c>
      <c r="F96" s="2" t="s">
        <v>189</v>
      </c>
      <c r="G96" s="11" t="s">
        <v>189</v>
      </c>
      <c r="H96" s="2">
        <v>0.56299999999999994</v>
      </c>
      <c r="I96" s="15" t="s">
        <v>297</v>
      </c>
      <c r="J96" s="2">
        <f t="shared" si="1"/>
        <v>0.56299999999999994</v>
      </c>
    </row>
    <row r="97" spans="2:10" x14ac:dyDescent="0.45">
      <c r="B97" s="9" t="s">
        <v>164</v>
      </c>
      <c r="C97" s="2">
        <v>1</v>
      </c>
      <c r="D97" s="2" t="s">
        <v>165</v>
      </c>
      <c r="E97" s="2" t="s">
        <v>283</v>
      </c>
      <c r="F97" s="2" t="s">
        <v>189</v>
      </c>
      <c r="G97" s="11" t="s">
        <v>189</v>
      </c>
      <c r="H97" s="2">
        <v>5.56</v>
      </c>
      <c r="I97" s="15" t="s">
        <v>297</v>
      </c>
      <c r="J97" s="2">
        <f t="shared" si="1"/>
        <v>5.56</v>
      </c>
    </row>
    <row r="98" spans="2:10" x14ac:dyDescent="0.45">
      <c r="B98" s="9" t="s">
        <v>166</v>
      </c>
      <c r="C98" s="2">
        <v>1</v>
      </c>
      <c r="D98" s="2" t="s">
        <v>167</v>
      </c>
      <c r="E98" s="2" t="s">
        <v>284</v>
      </c>
      <c r="F98" s="2" t="s">
        <v>189</v>
      </c>
      <c r="G98" s="11" t="s">
        <v>189</v>
      </c>
      <c r="H98" s="2">
        <v>0.82599999999999996</v>
      </c>
      <c r="I98" s="15" t="s">
        <v>297</v>
      </c>
      <c r="J98" s="2">
        <f t="shared" si="1"/>
        <v>0.82599999999999996</v>
      </c>
    </row>
    <row r="99" spans="2:10" x14ac:dyDescent="0.45">
      <c r="B99" s="9" t="s">
        <v>168</v>
      </c>
      <c r="C99" s="2">
        <v>1</v>
      </c>
      <c r="D99" s="2" t="s">
        <v>169</v>
      </c>
      <c r="E99" s="2" t="s">
        <v>285</v>
      </c>
      <c r="F99" s="2" t="s">
        <v>189</v>
      </c>
      <c r="G99" s="11" t="s">
        <v>189</v>
      </c>
      <c r="H99" s="2">
        <v>0.45</v>
      </c>
      <c r="I99" s="15" t="s">
        <v>297</v>
      </c>
      <c r="J99" s="2">
        <f t="shared" si="1"/>
        <v>0.45</v>
      </c>
    </row>
    <row r="100" spans="2:10" x14ac:dyDescent="0.45">
      <c r="B100" s="9" t="s">
        <v>170</v>
      </c>
      <c r="C100" s="2">
        <v>1</v>
      </c>
      <c r="D100" s="2" t="s">
        <v>171</v>
      </c>
      <c r="E100" s="2" t="s">
        <v>286</v>
      </c>
      <c r="F100" s="2" t="s">
        <v>189</v>
      </c>
      <c r="G100" s="11" t="s">
        <v>189</v>
      </c>
      <c r="H100" s="2">
        <v>2.65</v>
      </c>
      <c r="I100" s="15" t="s">
        <v>297</v>
      </c>
      <c r="J100" s="2">
        <f t="shared" si="1"/>
        <v>2.65</v>
      </c>
    </row>
    <row r="101" spans="2:10" x14ac:dyDescent="0.45">
      <c r="B101" s="9" t="s">
        <v>172</v>
      </c>
      <c r="C101" s="2">
        <v>1</v>
      </c>
      <c r="D101" s="2" t="s">
        <v>173</v>
      </c>
      <c r="E101" s="2" t="s">
        <v>287</v>
      </c>
      <c r="F101" s="2" t="s">
        <v>189</v>
      </c>
      <c r="G101" s="11" t="s">
        <v>189</v>
      </c>
      <c r="H101" s="2">
        <v>5.04</v>
      </c>
      <c r="I101" s="15" t="s">
        <v>297</v>
      </c>
      <c r="J101" s="2">
        <f t="shared" si="1"/>
        <v>5.04</v>
      </c>
    </row>
    <row r="102" spans="2:10" x14ac:dyDescent="0.45">
      <c r="B102" s="9" t="s">
        <v>174</v>
      </c>
      <c r="C102" s="2">
        <v>1</v>
      </c>
      <c r="D102" s="2" t="s">
        <v>175</v>
      </c>
      <c r="E102" s="2" t="s">
        <v>289</v>
      </c>
      <c r="F102" s="2" t="s">
        <v>288</v>
      </c>
      <c r="G102" s="11" t="s">
        <v>288</v>
      </c>
      <c r="H102" s="2">
        <v>75.552000000000007</v>
      </c>
      <c r="I102" s="15" t="s">
        <v>298</v>
      </c>
      <c r="J102" s="2">
        <f t="shared" si="1"/>
        <v>0</v>
      </c>
    </row>
    <row r="103" spans="2:10" x14ac:dyDescent="0.45">
      <c r="B103" s="9" t="s">
        <v>176</v>
      </c>
      <c r="C103" s="2">
        <v>3</v>
      </c>
      <c r="D103" s="2" t="s">
        <v>290</v>
      </c>
      <c r="E103" s="2" t="s">
        <v>290</v>
      </c>
      <c r="F103" s="2" t="s">
        <v>189</v>
      </c>
      <c r="G103" s="11" t="s">
        <v>189</v>
      </c>
      <c r="H103" s="2">
        <v>1.68</v>
      </c>
      <c r="I103" s="15" t="s">
        <v>297</v>
      </c>
      <c r="J103" s="2">
        <f t="shared" si="1"/>
        <v>5.04</v>
      </c>
    </row>
    <row r="104" spans="2:10" x14ac:dyDescent="0.45">
      <c r="B104" s="9" t="s">
        <v>177</v>
      </c>
      <c r="C104" s="2">
        <v>1</v>
      </c>
      <c r="D104" s="2" t="s">
        <v>178</v>
      </c>
      <c r="E104" s="2" t="s">
        <v>291</v>
      </c>
      <c r="F104" s="2" t="s">
        <v>189</v>
      </c>
      <c r="G104" s="11" t="s">
        <v>189</v>
      </c>
      <c r="H104" s="2">
        <v>2.23</v>
      </c>
      <c r="I104" s="15" t="s">
        <v>297</v>
      </c>
      <c r="J104" s="2">
        <f t="shared" si="1"/>
        <v>2.23</v>
      </c>
    </row>
    <row r="105" spans="2:10" x14ac:dyDescent="0.45">
      <c r="B105" s="9" t="s">
        <v>179</v>
      </c>
      <c r="C105" s="2">
        <v>2</v>
      </c>
      <c r="D105" s="2" t="s">
        <v>180</v>
      </c>
      <c r="E105" s="2" t="s">
        <v>292</v>
      </c>
      <c r="F105" s="2" t="s">
        <v>189</v>
      </c>
      <c r="G105" s="11" t="s">
        <v>189</v>
      </c>
      <c r="H105" s="2">
        <v>1.1499999999999999</v>
      </c>
      <c r="I105" s="15" t="s">
        <v>297</v>
      </c>
      <c r="J105" s="2">
        <f t="shared" si="1"/>
        <v>2.2999999999999998</v>
      </c>
    </row>
    <row r="106" spans="2:10" ht="28.5" x14ac:dyDescent="0.45">
      <c r="B106" s="9" t="s">
        <v>181</v>
      </c>
      <c r="C106" s="2">
        <v>2</v>
      </c>
      <c r="D106" s="2" t="s">
        <v>182</v>
      </c>
      <c r="E106" s="13" t="s">
        <v>294</v>
      </c>
      <c r="F106" s="2" t="s">
        <v>189</v>
      </c>
      <c r="G106" s="11" t="s">
        <v>189</v>
      </c>
      <c r="H106" s="2">
        <v>0.63200000000000001</v>
      </c>
      <c r="I106" s="15" t="s">
        <v>297</v>
      </c>
      <c r="J106" s="2">
        <f t="shared" si="1"/>
        <v>1.264</v>
      </c>
    </row>
    <row r="107" spans="2:10" x14ac:dyDescent="0.45">
      <c r="B107" s="9" t="s">
        <v>183</v>
      </c>
      <c r="C107" s="2">
        <v>1</v>
      </c>
      <c r="D107" s="2" t="s">
        <v>184</v>
      </c>
      <c r="E107" s="2" t="s">
        <v>293</v>
      </c>
      <c r="F107" s="2" t="s">
        <v>189</v>
      </c>
      <c r="G107" s="11" t="s">
        <v>189</v>
      </c>
      <c r="H107" s="2">
        <v>0.53300000000000003</v>
      </c>
      <c r="I107" s="15" t="s">
        <v>297</v>
      </c>
      <c r="J107" s="2">
        <f t="shared" si="1"/>
        <v>0.53300000000000003</v>
      </c>
    </row>
    <row r="108" spans="2:10" x14ac:dyDescent="0.45">
      <c r="B108" s="10" t="s">
        <v>185</v>
      </c>
      <c r="C108" s="4">
        <v>1</v>
      </c>
      <c r="D108" s="4" t="s">
        <v>186</v>
      </c>
      <c r="E108" s="4" t="s">
        <v>295</v>
      </c>
      <c r="F108" s="4" t="s">
        <v>189</v>
      </c>
      <c r="G108" s="14" t="s">
        <v>189</v>
      </c>
      <c r="H108" s="4">
        <v>0.19600000000000001</v>
      </c>
      <c r="I108" s="15" t="s">
        <v>297</v>
      </c>
      <c r="J108" s="2">
        <f t="shared" si="1"/>
        <v>0.19600000000000001</v>
      </c>
    </row>
    <row r="109" spans="2:10" x14ac:dyDescent="0.45">
      <c r="B109" s="3" t="s">
        <v>187</v>
      </c>
      <c r="C109" s="7">
        <f>SUM(C3:C108)</f>
        <v>405</v>
      </c>
      <c r="I109" s="6" t="s">
        <v>188</v>
      </c>
      <c r="J109" s="4">
        <f>SUM(J3:J108)</f>
        <v>102.87700000000001</v>
      </c>
    </row>
  </sheetData>
  <conditionalFormatting sqref="I3:I108">
    <cfRule type="cellIs" dxfId="1" priority="1" operator="equal">
      <formula>"N"</formula>
    </cfRule>
    <cfRule type="cellIs" dxfId="0" priority="2" operator="equal">
      <formula>"Y"</formula>
    </cfRule>
  </conditionalFormatting>
  <hyperlinks>
    <hyperlink ref="G3" r:id="rId1" xr:uid="{EFAE79A7-A93D-4AEC-916C-3E8430779DEA}"/>
    <hyperlink ref="G4" r:id="rId2" xr:uid="{E7FBA53C-9046-48F3-A40E-EC94101E96F6}"/>
    <hyperlink ref="G5" r:id="rId3" xr:uid="{13A65138-DB01-43D7-A98B-312DF33AC259}"/>
    <hyperlink ref="G6" r:id="rId4" xr:uid="{F3188949-B5D2-41D7-8BC1-F857ABC113EA}"/>
    <hyperlink ref="G7" r:id="rId5" xr:uid="{70E15C16-9813-4A94-8075-19FE7236AF03}"/>
    <hyperlink ref="G8" r:id="rId6" xr:uid="{E50FE2AF-D0D4-4FC7-A48F-0F5813C18E95}"/>
    <hyperlink ref="G9" r:id="rId7" xr:uid="{312ABC3B-621F-4B73-B4CA-344077FC3AF8}"/>
    <hyperlink ref="G10" r:id="rId8" xr:uid="{781A64E1-C684-41BB-A24F-E4E9F36D8741}"/>
    <hyperlink ref="G11" r:id="rId9" xr:uid="{3FAE8C0F-62FE-4AC3-9E9B-8D34AAE17D3C}"/>
    <hyperlink ref="G13" r:id="rId10" xr:uid="{B6903F7F-8990-4EEF-8E08-1C4C0EA8772C}"/>
    <hyperlink ref="G12" r:id="rId11" xr:uid="{FED20175-DC2E-45AA-9592-B088C8BCDF51}"/>
    <hyperlink ref="G14" r:id="rId12" xr:uid="{EAC2A25C-0C96-4177-BBB8-7428428CF6F6}"/>
    <hyperlink ref="G15" r:id="rId13" xr:uid="{AC6F8EDB-4595-438F-BAEB-82129D316BC4}"/>
    <hyperlink ref="G16" r:id="rId14" xr:uid="{76E75D0A-CCA1-45C0-9C2F-6FC60FD7DAAA}"/>
    <hyperlink ref="G17" r:id="rId15" xr:uid="{FA7FA27D-2D77-41FE-B0E9-A302F7C49B9D}"/>
    <hyperlink ref="G18" r:id="rId16" xr:uid="{196BEA1D-3C75-4B88-9E1F-20489674B2E2}"/>
    <hyperlink ref="G19" r:id="rId17" xr:uid="{5F0A3581-97C1-42D5-9AE5-435ABFAF7919}"/>
    <hyperlink ref="G20" r:id="rId18" xr:uid="{225CBB2D-6FBD-4B26-A4E8-C29C98EB154A}"/>
    <hyperlink ref="G21" r:id="rId19" xr:uid="{D8410F01-6B09-4D0D-BCE0-250DAA771D20}"/>
    <hyperlink ref="G22" r:id="rId20" xr:uid="{9C353971-8169-415E-8703-0D8520D78DDB}"/>
    <hyperlink ref="G23" r:id="rId21" xr:uid="{D9FAEB3A-B1CD-4F85-B207-F0825F754C80}"/>
    <hyperlink ref="G25" r:id="rId22" xr:uid="{84BD647A-A4BB-4762-8136-148CBE5938B1}"/>
    <hyperlink ref="G26" r:id="rId23" xr:uid="{8496080B-ABE7-44A1-9EAD-EB7E370615E6}"/>
    <hyperlink ref="G27" r:id="rId24" xr:uid="{A61EC4A6-A2C6-469F-8F0E-54978E179F80}"/>
    <hyperlink ref="G28" r:id="rId25" xr:uid="{62135705-DD66-4A79-8411-1B35A907ABD6}"/>
    <hyperlink ref="G29" r:id="rId26" xr:uid="{90B46BD5-D6BD-45A6-B964-482AE8AFB343}"/>
    <hyperlink ref="G30" r:id="rId27" xr:uid="{EC0A3B54-D0D3-4F92-855B-D484848C5DAB}"/>
    <hyperlink ref="G31" r:id="rId28" xr:uid="{865F07AB-3D81-4A43-92F7-C3926D2BCCC8}"/>
    <hyperlink ref="G32" r:id="rId29" xr:uid="{D051BD99-8123-4F23-A678-70AA263EBD68}"/>
    <hyperlink ref="G33" r:id="rId30" xr:uid="{CF8B6373-18D3-4A1B-A67F-4A02BEA9110C}"/>
    <hyperlink ref="G34" r:id="rId31" xr:uid="{6053A459-B2DF-4760-B03F-5E82064389CB}"/>
    <hyperlink ref="G35" r:id="rId32" xr:uid="{101BC353-0975-4742-B8AF-B2C3010DD08F}"/>
    <hyperlink ref="G38" r:id="rId33" xr:uid="{0CA16419-9C08-4D7A-99B0-87C99CB1AF67}"/>
    <hyperlink ref="G37" r:id="rId34" xr:uid="{FDA17612-B654-4C29-A253-AD01E8E36D6E}"/>
    <hyperlink ref="G36" r:id="rId35" xr:uid="{3D55A0FA-794E-42F7-A668-B49447156D45}"/>
    <hyperlink ref="G41" r:id="rId36" xr:uid="{8B0DA35C-7C46-4A7E-8F6C-607B938BF175}"/>
    <hyperlink ref="G39" r:id="rId37" xr:uid="{EE854EA1-57A5-450D-A141-5530E1E394A0}"/>
    <hyperlink ref="G42" r:id="rId38" xr:uid="{88B38CEA-40D3-48A6-87DB-DB745D388F53}"/>
    <hyperlink ref="G43" r:id="rId39" xr:uid="{A3BF44CD-E1F7-4208-B3EF-BB364B66893B}"/>
    <hyperlink ref="G44" r:id="rId40" xr:uid="{F534378B-42EA-452C-97E1-1CFE759A7863}"/>
    <hyperlink ref="G45" r:id="rId41" xr:uid="{9021124B-4F54-4DD7-BA7F-6CFBBBAC0B79}"/>
    <hyperlink ref="G46" r:id="rId42" xr:uid="{FF21F28A-37C6-4C39-BF46-9A36BB2EDC50}"/>
    <hyperlink ref="G47" r:id="rId43" xr:uid="{4662266B-E823-4BC1-ABD1-3831B4E5584F}"/>
    <hyperlink ref="G48" r:id="rId44" xr:uid="{5D72897D-6DB1-4740-A22C-F6A5E9F08E59}"/>
    <hyperlink ref="G49" r:id="rId45" xr:uid="{7F0EFBE9-E401-4F1F-AC9F-71EEB90C37CE}"/>
    <hyperlink ref="G50" r:id="rId46" xr:uid="{FE07CBD7-02CB-445B-BD52-5309CC9FEC4A}"/>
    <hyperlink ref="G51" r:id="rId47" xr:uid="{B49E20D9-81EA-464E-847A-285FA488BE39}"/>
    <hyperlink ref="G52" r:id="rId48" xr:uid="{8BA8ECB4-15F9-4F11-9E2D-5148AF12060D}"/>
    <hyperlink ref="G53" r:id="rId49" xr:uid="{96AD6699-C946-473D-8CD7-1B378842B316}"/>
    <hyperlink ref="G54" r:id="rId50" xr:uid="{C3BBFD75-C343-44DA-9001-AB4D75878DA7}"/>
    <hyperlink ref="G55" r:id="rId51" xr:uid="{EFF24957-FE6A-4EED-8A85-2F1A409676CA}"/>
    <hyperlink ref="G56" r:id="rId52" xr:uid="{314C6C86-74CD-4091-8E21-777E2BC73A35}"/>
    <hyperlink ref="G57" r:id="rId53" xr:uid="{63A02593-77F3-462D-835F-A7815303F538}"/>
    <hyperlink ref="G58" r:id="rId54" xr:uid="{BCFA9461-C259-44FF-BC13-7FB1EA596C5A}"/>
    <hyperlink ref="G59" r:id="rId55" xr:uid="{207DE1FF-777F-49DC-8EBC-C5E96EDB058F}"/>
    <hyperlink ref="G60" r:id="rId56" xr:uid="{D60259ED-C34F-4F4B-87BD-C411B6CAB58B}"/>
    <hyperlink ref="G61" r:id="rId57" xr:uid="{584A5925-D2FE-4CA7-AF7C-49301B98A280}"/>
    <hyperlink ref="G62" r:id="rId58" xr:uid="{CB255677-ECE9-42D2-90DC-E16E0B475EB5}"/>
    <hyperlink ref="G63" r:id="rId59" xr:uid="{2B5CB1C9-2344-423C-AEFF-E8A707366C0D}"/>
    <hyperlink ref="G64" r:id="rId60" xr:uid="{9404E7A4-0286-4FF2-ADBA-9C9887B5F801}"/>
    <hyperlink ref="G65" r:id="rId61" xr:uid="{88A04F76-6722-491E-9878-6044902AAE7F}"/>
    <hyperlink ref="G66" r:id="rId62" xr:uid="{316F61C9-9021-4FD7-AF53-26C2C538D743}"/>
    <hyperlink ref="G67" r:id="rId63" xr:uid="{0EA29E54-03D2-4282-8235-0430625A79DD}"/>
    <hyperlink ref="G68" r:id="rId64" xr:uid="{D4BEDDED-4D71-43AC-ABD6-23969D21F973}"/>
    <hyperlink ref="G69" r:id="rId65" xr:uid="{A801091A-A5F7-4906-9132-420414E633DF}"/>
    <hyperlink ref="G70" r:id="rId66" xr:uid="{5D2909EB-8D10-40D5-AC01-17E516EAE1C0}"/>
    <hyperlink ref="G72" r:id="rId67" xr:uid="{115D014A-8B9D-477D-A3E1-DE80C4112288}"/>
    <hyperlink ref="G71" r:id="rId68" xr:uid="{1637938E-E2C5-4928-BC98-3618DC0F28BD}"/>
    <hyperlink ref="G73" r:id="rId69" xr:uid="{E08C163B-4CB0-4989-BA57-598ECEBC7604}"/>
    <hyperlink ref="G74" r:id="rId70" xr:uid="{96FA8242-8DF1-4924-BB23-39F17CD1277C}"/>
    <hyperlink ref="G75" r:id="rId71" xr:uid="{CBC15046-C441-4831-A778-066E7BD148DC}"/>
    <hyperlink ref="G76" r:id="rId72" xr:uid="{A77D1A38-A00E-43F8-A5CE-F295CD180551}"/>
    <hyperlink ref="G77" r:id="rId73" xr:uid="{3FF5349C-6CF6-4C24-8E5E-624234BC75EE}"/>
    <hyperlink ref="G78" r:id="rId74" xr:uid="{8F4EFE3A-F66F-4078-9052-829C47B304E4}"/>
    <hyperlink ref="G79" r:id="rId75" xr:uid="{1C174C4F-A961-4DD2-BD3B-4EE160F55A96}"/>
    <hyperlink ref="G80" r:id="rId76" xr:uid="{156A2D6E-DB06-4715-91FC-D5E4F35C4E09}"/>
    <hyperlink ref="G81" r:id="rId77" xr:uid="{326C5BEB-8AD4-4AD2-8C9A-693E6D18405D}"/>
    <hyperlink ref="G82" r:id="rId78" xr:uid="{7D9112B5-96F2-47AC-B61D-887455C5AB92}"/>
    <hyperlink ref="G83" r:id="rId79" xr:uid="{1ABB0FAB-65A9-45BD-9F42-9CB2DC8504EC}"/>
    <hyperlink ref="G84" r:id="rId80" xr:uid="{124C1542-A673-41D2-829D-84B472F04304}"/>
    <hyperlink ref="G85" r:id="rId81" xr:uid="{5089A632-2978-4A6F-9291-053BF84EBCCC}"/>
    <hyperlink ref="G86" r:id="rId82" xr:uid="{9FC5DB54-38AC-4CF5-93BA-6E26BB52FB35}"/>
    <hyperlink ref="G87" r:id="rId83" xr:uid="{E1853530-6109-4F84-9438-74931E4424C3}"/>
    <hyperlink ref="G88" r:id="rId84" xr:uid="{4DA393DF-6CA7-4891-90BB-1CD2D58A30E3}"/>
    <hyperlink ref="G89" r:id="rId85" xr:uid="{7248CD9D-4F32-40C6-AD49-7B51EF994813}"/>
    <hyperlink ref="G90" r:id="rId86" xr:uid="{F9297197-5170-4112-8D53-1C9C243AE87A}"/>
    <hyperlink ref="G91" r:id="rId87" xr:uid="{04096D16-57C5-4BEE-8C04-806F9A1FF835}"/>
    <hyperlink ref="G92" r:id="rId88" xr:uid="{733D0F76-F834-4F2F-BCB6-BF4890BA6ADE}"/>
    <hyperlink ref="G93" r:id="rId89" xr:uid="{E2FDA714-D50C-4CE7-877E-C96A1B63C1A1}"/>
    <hyperlink ref="G94" r:id="rId90" xr:uid="{84A22D3C-6D96-47B4-A232-63D297D58500}"/>
    <hyperlink ref="G95" r:id="rId91" xr:uid="{556A8905-6860-49A6-80F4-B4571A500C80}"/>
    <hyperlink ref="G96" r:id="rId92" xr:uid="{ADF9A07F-3114-4397-86F2-35ADD8517645}"/>
    <hyperlink ref="G97" r:id="rId93" xr:uid="{011A01EA-C09F-4B82-87E1-054402F5B26A}"/>
    <hyperlink ref="G98" r:id="rId94" xr:uid="{456A4962-1EF4-4AA5-BB94-4C9A83BDECE3}"/>
    <hyperlink ref="G99" r:id="rId95" xr:uid="{E2EE404E-35E2-424E-B4DB-388A12022067}"/>
    <hyperlink ref="G100" r:id="rId96" xr:uid="{749C3F24-752B-401E-BB5F-D04709B787E7}"/>
    <hyperlink ref="G101" r:id="rId97" xr:uid="{57524AF1-DFC8-4631-8C08-F754D061DBE5}"/>
    <hyperlink ref="G102" r:id="rId98" xr:uid="{D614CCCA-5774-4605-9D79-7CD2FAE60850}"/>
    <hyperlink ref="G103" r:id="rId99" xr:uid="{BF6F0954-C889-44AF-8E67-397225493AB4}"/>
    <hyperlink ref="G104" r:id="rId100" xr:uid="{CDEFDA36-B94D-4797-A784-F37BD2273D54}"/>
    <hyperlink ref="G105" r:id="rId101" xr:uid="{2883A634-39E1-4DA1-9473-BC786B3FAE64}"/>
    <hyperlink ref="G107" r:id="rId102" xr:uid="{3406C4EB-837C-4B1D-AD0D-712C64D91C61}"/>
    <hyperlink ref="G106" r:id="rId103" xr:uid="{A4BE2D26-03DE-4B5A-A0AF-0684F6A9A789}"/>
    <hyperlink ref="G108" r:id="rId104" xr:uid="{A43AAC83-1058-4E48-A0E7-F72BE3307253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RX8-7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Port, Bradley (2023)</cp:lastModifiedBy>
  <cp:revision>0</cp:revision>
  <dcterms:created xsi:type="dcterms:W3CDTF">2026-02-16T17:43:06Z</dcterms:created>
  <dcterms:modified xsi:type="dcterms:W3CDTF">2026-02-24T11:28:27Z</dcterms:modified>
  <dc:language>en-US</dc:language>
</cp:coreProperties>
</file>